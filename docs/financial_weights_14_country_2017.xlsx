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1b4ec5818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ab3df23abb4b2e"/>
    <x:sheet xmlns:r="http://schemas.openxmlformats.org/officeDocument/2006/relationships" name="Cell Lineage" sheetId="2" r:id="Racdb9b39e09147f0"/>
    <x:sheet xmlns:r="http://schemas.openxmlformats.org/officeDocument/2006/relationships" name="W Main Restated" sheetId="3" r:id="Rd7768f2e190645c0"/>
    <x:sheet xmlns:r="http://schemas.openxmlformats.org/officeDocument/2006/relationships" name="W Residency Basis" sheetId="4" r:id="R65c7b9e808284df0"/>
    <x:sheet xmlns:r="http://schemas.openxmlformats.org/officeDocument/2006/relationships" name="W Equity Restated" sheetId="5" r:id="R3ab70a05c8a149f9"/>
    <x:sheet xmlns:r="http://schemas.openxmlformats.org/officeDocument/2006/relationships" name="W Bonds Restated" sheetId="6" r:id="Rf42eb36045c94efa"/>
    <x:sheet xmlns:r="http://schemas.openxmlformats.org/officeDocument/2006/relationships" name="Country Coverage" sheetId="7" r:id="Rb39ad1f8585242ff"/>
    <x:sheet xmlns:r="http://schemas.openxmlformats.org/officeDocument/2006/relationships" name="Sources" sheetId="8" r:id="R6fb4a80701b94b3e"/>
    <x:sheet xmlns:r="http://schemas.openxmlformats.org/officeDocument/2006/relationships" name="Checks" sheetId="9" r:id="R0e1afe457ff9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E+00"/>
    <x:numFmt numFmtId="201" formatCode="#,##0.0;[Red](#,##0.0);-"/>
    <x:numFmt numFmtId="202" formatCode="0.000000"/>
    <x:numFmt numFmtId="203" formatCode="0.0%"/>
    <x:numFmt numFmtId="204" formatCode="0.000000000000"/>
    <x:numFmt numFmtId="205" formatCode="0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006100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1F1F1F"/>
      <x:name val="Aptos"/>
    </x:font>
    <x:font>
      <x:b/>
      <x:sz val="11"/>
      <x:color rgb="FFFFFFFF"/>
      <x:name val="Aptos"/>
    </x:font>
    <x:font>
      <x:b/>
      <x:sz val="11"/>
      <x:color rgb="FF17365D"/>
      <x:name val="Aptos"/>
    </x:font>
    <x:font>
      <x:b/>
      <x:sz val="11"/>
      <x:color rgb="FF7F6000"/>
      <x:name val="Aptos"/>
    </x:font>
    <x:font>
      <x:sz val="11"/>
      <x:color rgb="FF0563C1"/>
      <x:name val="Carlito"/>
    </x:font>
    <x:font>
      <x:b/>
      <x:sz val="11"/>
      <x:color rgb="FF66666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0"/>
      </x:patternFill>
    </x:fill>
    <x:fill>
      <x:patternFill patternType="solid">
        <x:fgColor rgb="FFE7E6E6"/>
      </x:patternFill>
    </x:fill>
  </x:fills>
  <x:borders count="19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0" fillId="4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13" fillId="0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0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2" fontId="0" fillId="0" borderId="13" xfId="0" applyNumberFormat="1" applyFont="1" applyFill="1" applyBorder="1"/>
    <x:xf numFmtId="202" fontId="0" fillId="0" borderId="14" xfId="0" applyNumberFormat="1" applyFont="1" applyFill="1" applyBorder="1"/>
    <x:xf numFmtId="202" fontId="0" fillId="0" borderId="15" xfId="0" applyNumberFormat="1" applyFont="1" applyFill="1" applyBorder="1"/>
    <x:xf numFmtId="202" fontId="0" fillId="0" borderId="7" xfId="0" applyNumberFormat="1" applyFont="1" applyFill="1" applyBorder="1" applyAlignment="1">
      <x:alignment horizontal="right"/>
    </x:xf>
    <x:xf numFmtId="202" fontId="0" fillId="0" borderId="8" xfId="0" applyNumberFormat="1" applyFont="1" applyFill="1" applyBorder="1" applyAlignment="1">
      <x:alignment horizontal="right"/>
    </x:xf>
    <x:xf numFmtId="202" fontId="0" fillId="0" borderId="9" xfId="0" applyNumberFormat="1" applyFont="1" applyFill="1" applyBorder="1" applyAlignment="1">
      <x:alignment horizontal="right"/>
    </x:xf>
    <x:xf numFmtId="202" fontId="0" fillId="0" borderId="10" xfId="0" applyNumberFormat="1" applyFont="1" applyFill="1" applyBorder="1" applyAlignment="1">
      <x:alignment horizontal="right"/>
    </x:xf>
    <x:xf numFmtId="202" fontId="0" fillId="0" borderId="11" xfId="0" applyNumberFormat="1" applyFont="1" applyFill="1" applyBorder="1" applyAlignment="1">
      <x:alignment horizontal="right"/>
    </x:xf>
    <x:xf numFmtId="202" fontId="0" fillId="0" borderId="12" xfId="0" applyNumberFormat="1" applyFont="1" applyFill="1" applyBorder="1" applyAlignment="1">
      <x:alignment horizontal="right"/>
    </x:xf>
    <x:xf numFmtId="202" fontId="0" fillId="0" borderId="13" xfId="0" applyNumberFormat="1" applyFont="1" applyFill="1" applyBorder="1" applyAlignment="1">
      <x:alignment horizontal="right"/>
    </x:xf>
    <x:xf numFmtId="202" fontId="0" fillId="0" borderId="14" xfId="0" applyNumberFormat="1" applyFont="1" applyFill="1" applyBorder="1" applyAlignment="1">
      <x:alignment horizontal="right"/>
    </x:xf>
    <x:xf numFmtId="202" fontId="0" fillId="0" borderId="15" xfId="0" applyNumberFormat="1" applyFont="1" applyFill="1" applyBorder="1" applyAlignment="1">
      <x:alignment horizontal="right"/>
    </x:xf>
    <x:xf numFmtId="202" fontId="0" fillId="8" borderId="7" xfId="0" applyNumberFormat="1" applyFont="1" applyFill="1" applyBorder="1" applyAlignment="1">
      <x:alignment horizontal="right"/>
    </x:xf>
    <x:xf numFmtId="202" fontId="14" fillId="8" borderId="7" xfId="0" applyNumberFormat="1" applyFont="1" applyFill="1" applyBorder="1" applyAlignment="1">
      <x:alignment horizontal="right"/>
    </x:xf>
    <x:xf numFmtId="202" fontId="0" fillId="8" borderId="11" xfId="0" applyNumberFormat="1" applyFont="1" applyFill="1" applyBorder="1" applyAlignment="1">
      <x:alignment horizontal="right"/>
    </x:xf>
    <x:xf numFmtId="202" fontId="14" fillId="8" borderId="11" xfId="0" applyNumberFormat="1" applyFont="1" applyFill="1" applyBorder="1" applyAlignment="1">
      <x:alignment horizontal="right"/>
    </x:xf>
    <x:xf numFmtId="202" fontId="0" fillId="8" borderId="15" xfId="0" applyNumberFormat="1" applyFont="1" applyFill="1" applyBorder="1" applyAlignment="1">
      <x:alignment horizontal="right"/>
    </x:xf>
    <x:xf numFmtId="202" fontId="14" fillId="8" borderId="15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/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13" fillId="0" borderId="16" xfId="0" applyNumberFormat="1" applyFont="1" applyFill="1" applyBorder="1" applyAlignment="1">
      <x:alignment vertical="top" wrapText="1"/>
    </x:xf>
    <x:xf numFmtId="0" fontId="13" fillId="0" borderId="17" xfId="0" applyNumberFormat="1" applyFont="1" applyFill="1" applyBorder="1" applyAlignment="1">
      <x:alignment vertical="top" wrapText="1"/>
    </x:xf>
    <x:xf numFmtId="0" fontId="13" fillId="0" borderId="18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4" fontId="0" fillId="0" borderId="4" xfId="0" applyNumberFormat="1" applyFont="1" applyFill="1" applyBorder="1"/>
    <x:xf numFmtId="205" fontId="0" fillId="0" borderId="4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204" fontId="0" fillId="0" borderId="5" xfId="0" applyNumberFormat="1" applyFont="1" applyFill="1" applyBorder="1"/>
    <x:xf numFmtId="205" fontId="0" fillId="0" borderId="5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204" fontId="0" fillId="0" borderId="6" xfId="0" applyNumberFormat="1" applyFont="1" applyFill="1" applyBorder="1"/>
    <x:xf numFmtId="205" fontId="0" fillId="0" borderId="6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9d32727f54e55" /><Relationship Type="http://schemas.openxmlformats.org/officeDocument/2006/relationships/theme" Target="/xl/theme/theme1.xml" Id="R05ecfb7c058e4337" /><Relationship Type="http://schemas.microsoft.com/office/2022/11/relationships/FeaturePropertyBag" Target="/xl/featurePropertyBag/featurePropertyBag.xml" Id="R9244293d2bf64ad6" /><Relationship Type="http://schemas.openxmlformats.org/officeDocument/2006/relationships/sharedStrings" Target="/xl/sharedStrings.xml" Id="Rcbc1fe3e957d40df" /><Relationship Type="http://schemas.openxmlformats.org/officeDocument/2006/relationships/worksheet" Target="/xl/worksheets/sheet1.xml" Id="R25ab3df23abb4b2e" /><Relationship Type="http://schemas.openxmlformats.org/officeDocument/2006/relationships/worksheet" Target="/xl/worksheets/sheet2.xml" Id="Racdb9b39e09147f0" /><Relationship Type="http://schemas.openxmlformats.org/officeDocument/2006/relationships/worksheet" Target="/xl/worksheets/sheet3.xml" Id="Rd7768f2e190645c0" /><Relationship Type="http://schemas.openxmlformats.org/officeDocument/2006/relationships/worksheet" Target="/xl/worksheets/sheet4.xml" Id="R65c7b9e808284df0" /><Relationship Type="http://schemas.openxmlformats.org/officeDocument/2006/relationships/worksheet" Target="/xl/worksheets/sheet5.xml" Id="R3ab70a05c8a149f9" /><Relationship Type="http://schemas.openxmlformats.org/officeDocument/2006/relationships/worksheet" Target="/xl/worksheets/sheet6.xml" Id="Rf42eb36045c94efa" /><Relationship Type="http://schemas.openxmlformats.org/officeDocument/2006/relationships/worksheet" Target="/xl/worksheets/sheet7.xml" Id="Rb39ad1f8585242ff" /><Relationship Type="http://schemas.openxmlformats.org/officeDocument/2006/relationships/worksheet" Target="/xl/worksheets/sheet8.xml" Id="R6fb4a80701b94b3e" /><Relationship Type="http://schemas.openxmlformats.org/officeDocument/2006/relationships/worksheet" Target="/xl/worksheets/sheet9.xml" Id="R0e1afe457ff941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7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33" t="str">
        <x:v>14-Economy Financial Weights — Audited 2017 Baseline</x:v>
      </x:c>
      <x:c r="B1" s="4" t="str">
        <x:v>14-Economy Financial Weights — Audited 2017 Baseline</x:v>
      </x:c>
      <x:c r="C1" s="4" t="str">
        <x:v>14-Economy Financial Weights — Audited 2017 Baseline</x:v>
      </x:c>
      <x:c r="D1" s="4" t="str">
        <x:v>14-Economy Financial Weights — Audited 2017 Baseline</x:v>
      </x:c>
      <x:c r="E1" s="4" t="str">
        <x:v>14-Economy Financial Weights — Audited 2017 Baseline</x:v>
      </x:c>
      <x:c r="F1" s="4" t="str">
        <x:v>14-Economy Financial Weights — Audited 2017 Baseline</x:v>
      </x:c>
      <x:c r="G1" s="4" t="str">
        <x:v>14-Economy Financial Weights — Audited 2017 Baseline</x:v>
      </x:c>
      <x:c r="H1" s="4" t="str">
        <x:v>14-Economy Financial Weights — Audited 2017 Baseline</x:v>
      </x:c>
    </x:row>
    <x:row r="2">
      <x:c r="A2" s="34"/>
    </x:row>
    <x:row r="3">
      <x:c r="A3" s="35" t="str">
        <x:v>Purpose: fixed financial-weight matrices for the TVP-GVAR sample, with complete cell-level provenance and no project-level imputation.</x:v>
      </x:c>
      <x:c r="B3" s="8"/>
      <x:c r="C3" s="8"/>
      <x:c r="D3" s="8"/>
      <x:c r="E3" s="8"/>
      <x:c r="F3" s="8"/>
      <x:c r="G3" s="8"/>
      <x:c r="H3" s="8"/>
    </x:row>
    <x:row r="4">
      <x:c r="A4" s="34"/>
    </x:row>
    <x:row r="5" ht="34" customHeight="1">
      <x:c r="A5" s="36" t="str">
        <x:v>Item</x:v>
      </x:c>
      <x:c r="B5" s="21" t="str">
        <x:v>Value</x:v>
      </x:c>
      <x:c r="C5" s="22" t="str">
        <x:v>Audit note</x:v>
      </x:c>
    </x:row>
    <x:row r="6">
      <x:c r="A6" s="37" t="str">
        <x:v>Reference year</x:v>
      </x:c>
      <x:c r="B6" t="n">
        <x:v>2017</x:v>
      </x:c>
      <x:c r="C6" t="str">
        <x:v>End-December; Australia may use June when December is unavailable in the distributed source.</x:v>
      </x:c>
    </x:row>
    <x:row r="7">
      <x:c r="A7" s="37" t="str">
        <x:v>Economies</x:v>
      </x:c>
      <x:c r="B7" t="n">
        <x:v>14</x:v>
      </x:c>
      <x:c r="C7" t="str">
        <x:v>AU, BR, CA, CH, CN, EA, UK, JP, KR, NO, SG, TR, US, ZA</x:v>
      </x:c>
    </x:row>
    <x:row r="8">
      <x:c r="A8" s="37" t="str">
        <x:v>Main input field</x:v>
      </x:c>
      <x:c r="B8" t="str">
        <x:v>Restatement_Ex_Domestic</x:v>
      </x:c>
      <x:c r="C8" t="str">
        <x:v>GCAP nationality restatement excluding domestic-position reallocation.</x:v>
      </x:c>
    </x:row>
    <x:row r="9">
      <x:c r="A9" s="37" t="str">
        <x:v>Asset coverage</x:v>
      </x:c>
      <x:c r="B9" t="str">
        <x:v>Equity + bonds</x:v>
      </x:c>
      <x:c r="C9" t="str">
        <x:v>US: E+BC+BG+BSF; other economies: EF+B.</x:v>
      </x:c>
    </x:row>
    <x:row r="10">
      <x:c r="A10" s="37" t="str">
        <x:v>Normalization</x:v>
      </x:c>
      <x:c r="B10" t="str">
        <x:v>Within sample</x:v>
      </x:c>
      <x:c r="C10" t="str">
        <x:v>Diagonal set to zero; each row divided by the sum across the other 13 sample nodes.</x:v>
      </x:c>
    </x:row>
    <x:row r="11">
      <x:c r="A11" s="37" t="str">
        <x:v>Imputation by this project</x:v>
      </x:c>
      <x:c r="B11" t="str">
        <x:v>None</x:v>
      </x:c>
      <x:c r="C11" t="str">
        <x:v>No NA was converted to zero and no bilateral cell was estimated by this project.</x:v>
      </x:c>
    </x:row>
    <x:row r="12">
      <x:c r="A12" s="37" t="str">
        <x:v>Publisher adjustments</x:v>
      </x:c>
      <x:c r="B12" t="str">
        <x:v>Yes</x:v>
      </x:c>
      <x:c r="C12" t="str">
        <x:v>GCAP restatements are estimates; its residency inputs may include interpolation/extrapolation as documented.</x:v>
      </x:c>
    </x:row>
    <x:row r="13">
      <x:c r="A13" s="37" t="str">
        <x:v>Validation status</x:v>
      </x:c>
      <x:c r="B13" s="25" t="str">
        <x:f>IF(COUNTIF('Checks'!$G$4:$G$59,"CHECK")=0,"OK","CHECK")</x:f>
        <x:v>OK</x:v>
      </x:c>
      <x:c r="C13" t="str">
        <x:v>All four matrices must have row sum 1, diagonal 0, no NA, and no negative values.</x:v>
      </x:c>
    </x:row>
    <x:row r="14">
      <x:c r="A14" s="37" t="str">
        <x:v>Validation tolerance</x:v>
      </x:c>
      <x:c r="B14" s="26" t="n">
        <x:v>1e-10</x:v>
      </x:c>
      <x:c r="C14" t="str">
        <x:v>Used by the Checks sheet.</x:v>
      </x:c>
    </x:row>
    <x:row r="15">
      <x:c r="A15" s="34"/>
    </x:row>
    <x:row r="16">
      <x:c r="A16" s="38" t="str">
        <x:v>Recommended use</x:v>
      </x:c>
      <x:c r="B16" s="10"/>
      <x:c r="C16" s="10"/>
      <x:c r="D16" s="10"/>
      <x:c r="E16" s="10"/>
      <x:c r="F16" s="10"/>
      <x:c r="G16" s="10"/>
      <x:c r="H16" s="10"/>
    </x:row>
    <x:row r="17">
      <x:c r="A17" s="39" t="str">
        <x:v>1. Main specification: W Main Restated (fixed 2017 nationality-based portfolio exposure).</x:v>
      </x:c>
      <x:c r="B17" s="29"/>
      <x:c r="C17" s="29"/>
      <x:c r="D17" s="29"/>
      <x:c r="E17" s="29"/>
      <x:c r="F17" s="29"/>
      <x:c r="G17" s="29"/>
      <x:c r="H17" s="29"/>
    </x:row>
    <x:row r="18">
      <x:c r="A18" s="39" t="str">
        <x:v>2. Asset-channel robustness: W Equity Restated and W Bonds Restated.</x:v>
      </x:c>
      <x:c r="B18" s="29"/>
      <x:c r="C18" s="29"/>
      <x:c r="D18" s="29"/>
      <x:c r="E18" s="29"/>
      <x:c r="F18" s="29"/>
      <x:c r="G18" s="29"/>
      <x:c r="H18" s="29"/>
    </x:row>
    <x:row r="19">
      <x:c r="A19" s="39" t="str">
        <x:v>3. Classification robustness: W Residency Basis.</x:v>
      </x:c>
      <x:c r="B19" s="29"/>
      <x:c r="C19" s="29"/>
      <x:c r="D19" s="29"/>
      <x:c r="E19" s="29"/>
      <x:c r="F19" s="29"/>
      <x:c r="G19" s="29"/>
      <x:c r="H19" s="29"/>
    </x:row>
    <x:row r="20">
      <x:c r="A20" s="39" t="str">
        <x:v>4. Do not merge BIS banking claims into these portfolio holdings; use BIS as a separate robustness matrix to avoid conceptual overlap.</x:v>
      </x:c>
      <x:c r="B20" s="29"/>
      <x:c r="C20" s="29"/>
      <x:c r="D20" s="29"/>
      <x:c r="E20" s="29"/>
      <x:c r="F20" s="29"/>
      <x:c r="G20" s="29"/>
      <x:c r="H20" s="29"/>
    </x:row>
    <x:row r="21">
      <x:c r="A21" s="34"/>
    </x:row>
    <x:row r="22" ht="54" customHeight="1">
      <x:c r="A22" s="40" t="str">
        <x:v>Important disclosure: 'No project-level imputation' does not mean every upstream figure is directly observed. The publisher explicitly documents estimated nationality restatements and limited interpolation/extrapolation of residency inputs. See Sources and Cell Lineage.</x:v>
      </x:c>
      <x:c r="B22" s="32"/>
      <x:c r="C22" s="32"/>
      <x:c r="D22" s="32"/>
      <x:c r="E22" s="32"/>
      <x:c r="F22" s="32"/>
      <x:c r="G22" s="32"/>
      <x:c r="H22" s="32"/>
    </x:row>
  </x:sheetData>
  <x:mergeCells>
    <x:mergeCell ref="A1:H1"/>
    <x:mergeCell ref="A3:H3"/>
    <x:mergeCell ref="A16:H16"/>
    <x:mergeCell ref="A17:H17"/>
    <x:mergeCell ref="A18:H18"/>
    <x:mergeCell ref="A19:H19"/>
    <x:mergeCell ref="A20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2" hidden="0" customWidth="1"/>
    <x:col min="5" max="5" width="18" hidden="0" customWidth="1"/>
    <x:col min="6" max="6" width="24" hidden="0" customWidth="1"/>
    <x:col min="7" max="7" width="9" hidden="0" customWidth="1"/>
    <x:col min="8" max="8" width="19" hidden="0" customWidth="1"/>
    <x:col min="9" max="9" width="18" hidden="0" customWidth="1"/>
    <x:col min="10" max="10" width="12" hidden="0" customWidth="1"/>
    <x:col min="11" max="11" width="14" hidden="0" customWidth="1"/>
    <x:col min="12" max="12" width="14" hidden="0" customWidth="1"/>
    <x:col min="13" max="13" width="20" hidden="0" customWidth="1"/>
    <x:col min="14" max="14" width="24" hidden="0" customWidth="1"/>
    <x:col min="15" max="15" width="20" hidden="0" customWidth="1"/>
    <x:col min="16" max="16" width="20" hidden="0" customWidth="1"/>
    <x:col min="17" max="17" width="16" hidden="0" customWidth="1"/>
    <x:col min="18" max="18" width="18" hidden="0" customWidth="1"/>
    <x:col min="19" max="19" width="56" hidden="0" customWidth="1"/>
    <x:col min="20" max="20" width="48" hidden="0" customWidth="1"/>
    <x:col min="21" max="21" width="28" hidden="0" customWidth="1"/>
    <x:col min="22" max="22" width="18" hidden="0" customWidth="1"/>
    <x:col min="23" max="23" width="58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28" customHeight="1">
      <x:c r="A1" s="4" t="str">
        <x:v>Cell Lineage — 196 Bilateral Sample Cells</x:v>
      </x:c>
      <x:c r="B1" s="4" t="str">
        <x:v>Cell Lineage — 196 Bilateral Sample Cells</x:v>
      </x:c>
      <x:c r="C1" s="4" t="str">
        <x:v>Cell Lineage — 196 Bilateral Sample Cells</x:v>
      </x:c>
      <x:c r="D1" s="4" t="str">
        <x:v>Cell Lineage — 196 Bilateral Sample Cells</x:v>
      </x:c>
      <x:c r="E1" s="4" t="str">
        <x:v>Cell Lineage — 196 Bilateral Sample Cells</x:v>
      </x:c>
      <x:c r="F1" s="4" t="str">
        <x:v>Cell Lineage — 196 Bilateral Sample Cells</x:v>
      </x:c>
      <x:c r="G1" s="4" t="str">
        <x:v>Cell Lineage — 196 Bilateral Sample Cells</x:v>
      </x:c>
      <x:c r="H1" s="4" t="str">
        <x:v>Cell Lineage — 196 Bilateral Sample Cells</x:v>
      </x:c>
      <x:c r="I1" s="4" t="str">
        <x:v>Cell Lineage — 196 Bilateral Sample Cells</x:v>
      </x:c>
      <x:c r="J1" s="4" t="str">
        <x:v>Cell Lineage — 196 Bilateral Sample Cells</x:v>
      </x:c>
      <x:c r="K1" s="4" t="str">
        <x:v>Cell Lineage — 196 Bilateral Sample Cells</x:v>
      </x:c>
      <x:c r="L1" s="4" t="str">
        <x:v>Cell Lineage — 196 Bilateral Sample Cells</x:v>
      </x:c>
      <x:c r="M1" s="4" t="str">
        <x:v>Cell Lineage — 196 Bilateral Sample Cells</x:v>
      </x:c>
      <x:c r="N1" s="4" t="str">
        <x:v>Cell Lineage — 196 Bilateral Sample Cells</x:v>
      </x:c>
      <x:c r="O1" s="4" t="str">
        <x:v>Cell Lineage — 196 Bilateral Sample Cells</x:v>
      </x:c>
      <x:c r="P1" s="4" t="str">
        <x:v>Cell Lineage — 196 Bilateral Sample Cells</x:v>
      </x:c>
      <x:c r="Q1" s="4" t="str">
        <x:v>Cell Lineage — 196 Bilateral Sample Cells</x:v>
      </x:c>
      <x:c r="R1" s="4" t="str">
        <x:v>Cell Lineage — 196 Bilateral Sample Cells</x:v>
      </x:c>
      <x:c r="S1" s="4" t="str">
        <x:v>Cell Lineage — 196 Bilateral Sample Cells</x:v>
      </x:c>
      <x:c r="T1" s="4" t="str">
        <x:v>Cell Lineage — 196 Bilateral Sample Cells</x:v>
      </x:c>
      <x:c r="U1" s="4" t="str">
        <x:v>Cell Lineage — 196 Bilateral Sample Cells</x:v>
      </x:c>
      <x:c r="V1" s="4" t="str">
        <x:v>Cell Lineage — 196 Bilateral Sample Cells</x:v>
      </x:c>
      <x:c r="W1" s="4" t="str">
        <x:v>Cell Lineage — 196 Bilateral Sample Cells</x:v>
      </x:c>
      <x:c r="X1" s="4" t="str">
        <x:v>Cell Lineage — 196 Bilateral Sample Cells</x:v>
      </x:c>
      <x:c r="Y1" s="4" t="str">
        <x:v>Cell Lineage — 196 Bilateral Sample Cells</x:v>
      </x:c>
      <x:c r="Z1" s="4" t="str">
        <x:v>Cell Lineage — 196 Bilateral Sample Cells</x:v>
      </x:c>
      <x:c r="AA1" s="4" t="str">
        <x:v>Cell Lineage — 196 Bilateral Sample Cells</x:v>
      </x:c>
    </x:row>
    <x:row r="2">
      <x:c r="A2" s="8" t="str">
        <x:v>Every final matrix cell is traceable to the distributed GCAP field, method, asset codes, aggregation rule, upstream source, and publisher-adjustment disclosure.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</x:row>
    <x:row r="3" ht="34" customHeight="1">
      <x:c r="A3" s="20" t="str">
        <x:v>Investor_Code</x:v>
      </x:c>
      <x:c r="B3" s="21" t="str">
        <x:v>Investor_ISO3</x:v>
      </x:c>
      <x:c r="C3" s="21" t="str">
        <x:v>Investor_Name</x:v>
      </x:c>
      <x:c r="D3" s="21" t="str">
        <x:v>Issuer_Code</x:v>
      </x:c>
      <x:c r="E3" s="21" t="str">
        <x:v>Issuer_ISO3_or_Group</x:v>
      </x:c>
      <x:c r="F3" s="21" t="str">
        <x:v>Issuer_Name</x:v>
      </x:c>
      <x:c r="G3" s="21" t="str">
        <x:v>Year</x:v>
      </x:c>
      <x:c r="H3" s="21" t="str">
        <x:v>Methodology</x:v>
      </x:c>
      <x:c r="I3" s="21" t="str">
        <x:v>Asset_Class_Codes</x:v>
      </x:c>
      <x:c r="J3" s="21" t="str">
        <x:v>Source_Rows</x:v>
      </x:c>
      <x:c r="K3" s="21" t="str">
        <x:v>Source_NA_Restated</x:v>
      </x:c>
      <x:c r="L3" s="21" t="str">
        <x:v>Source_NA_Residency</x:v>
      </x:c>
      <x:c r="M3" s="21" t="str">
        <x:v>Position_Residency_USD_mn</x:v>
      </x:c>
      <x:c r="N3" s="21" t="str">
        <x:v>Restated_Ex_Domestic_USD_mn</x:v>
      </x:c>
      <x:c r="O3" s="21" t="str">
        <x:v>Restated_Equity_USD_mn</x:v>
      </x:c>
      <x:c r="P3" s="21" t="str">
        <x:v>Restated_Bonds_USD_mn</x:v>
      </x:c>
      <x:c r="Q3" s="21" t="str">
        <x:v>Diagonal_Forced_Zero</x:v>
      </x:c>
      <x:c r="R3" s="21" t="str">
        <x:v>Imputation_By_This_Project</x:v>
      </x:c>
      <x:c r="S3" s="21" t="str">
        <x:v>Publisher_Adjustment_Flag</x:v>
      </x:c>
      <x:c r="T3" s="21" t="str">
        <x:v>Cell_Treatment</x:v>
      </x:c>
      <x:c r="U3" s="21" t="str">
        <x:v>Primary_Source</x:v>
      </x:c>
      <x:c r="V3" s="21" t="str">
        <x:v>Upstream_Source</x:v>
      </x:c>
      <x:c r="W3" s="21" t="str">
        <x:v>Source_URL</x:v>
      </x:c>
      <x:c r="X3" s="21" t="str">
        <x:v>Weight_Main</x:v>
      </x:c>
      <x:c r="Y3" s="21" t="str">
        <x:v>Weight_Residency</x:v>
      </x:c>
      <x:c r="Z3" s="21" t="str">
        <x:v>Weight_Equity</x:v>
      </x:c>
      <x:c r="AA3" s="22" t="str">
        <x:v>Weight_Bonds</x:v>
      </x:c>
    </x:row>
    <x:row r="4">
      <x:c r="A4" s="46" t="str">
        <x:v>AU</x:v>
      </x:c>
      <x:c r="B4" s="46" t="str">
        <x:v>AUS</x:v>
      </x:c>
      <x:c r="C4" s="46" t="str">
        <x:v>Australia</x:v>
      </x:c>
      <x:c r="D4" s="46" t="str">
        <x:v>AU</x:v>
      </x:c>
      <x:c r="E4" s="46" t="str">
        <x:v>AUS</x:v>
      </x:c>
      <x:c r="F4" s="46" t="str">
        <x:v>Australia</x:v>
      </x:c>
      <x:c r="G4" s="46" t="n">
        <x:v>2017</x:v>
      </x:c>
      <x:c r="H4" s="46" t="str">
        <x:v>Fund Holdings</x:v>
      </x:c>
      <x:c r="I4" s="46" t="str">
        <x:v>EF+B</x:v>
      </x:c>
      <x:c r="J4" s="46" t="n">
        <x:v>2</x:v>
      </x:c>
      <x:c r="K4" s="46" t="n">
        <x:v>0</x:v>
      </x:c>
      <x:c r="L4" s="46" t="n">
        <x:v>0</x:v>
      </x:c>
      <x:c r="M4" s="47" t="n">
        <x:v>313644.65625</x:v>
      </x:c>
      <x:c r="N4" s="47" t="n">
        <x:v>318493.48826196976</x:v>
      </x:c>
      <x:c r="O4" s="47" t="n">
        <x:v>184148.26977136917</x:v>
      </x:c>
      <x:c r="P4" s="47" t="n">
        <x:v>134345.2184906006</x:v>
      </x:c>
      <x:c r="Q4" s="48" t="b">
        <x:v>1</x:v>
      </x:c>
      <x:c r="R4" s="49" t="str">
        <x:v>none</x:v>
      </x:c>
      <x:c r="S4" s="50" t="str">
        <x:v>GCAP estimated restatement; Position_Residency may include GCAP interpolation/extrapolation per documentation</x:v>
      </x:c>
      <x:c r="T4" s="50" t="str">
        <x:v>EA issuer aggregation + diagonal set to zero + within-sample row normalization</x:v>
      </x:c>
      <x:c r="U4" s="50" t="str">
        <x:v>GCAP Restated Bilateral External Portfolios v1.8</x:v>
      </x:c>
      <x:c r="V4" s="50" t="str">
        <x:v>IMF CPIS</x:v>
      </x:c>
      <x:c r="W4" s="51" t="str">
        <x:v>https://globalcapitalallocation.s3.us-east-2.amazonaws.com/Restated_Bilateral_External_Portfolios_ReadMe.pdf</x:v>
      </x:c>
      <x:c r="X4" s="52" t="n">
        <x:v>0</x:v>
      </x:c>
      <x:c r="Y4" s="52" t="n">
        <x:v>0</x:v>
      </x:c>
      <x:c r="Z4" s="52" t="n">
        <x:v>0</x:v>
      </x:c>
      <x:c r="AA4" s="52" t="n">
        <x:v>0</x:v>
      </x:c>
    </x:row>
    <x:row r="5">
      <x:c r="A5" s="53" t="str">
        <x:v>AU</x:v>
      </x:c>
      <x:c r="B5" s="53" t="str">
        <x:v>AUS</x:v>
      </x:c>
      <x:c r="C5" s="53" t="str">
        <x:v>Australia</x:v>
      </x:c>
      <x:c r="D5" s="53" t="str">
        <x:v>BR</x:v>
      </x:c>
      <x:c r="E5" s="53" t="str">
        <x:v>BRA</x:v>
      </x:c>
      <x:c r="F5" s="53" t="str">
        <x:v>Brazil</x:v>
      </x:c>
      <x:c r="G5" s="53" t="n">
        <x:v>2017</x:v>
      </x:c>
      <x:c r="H5" s="53" t="str">
        <x:v>Fund Holdings</x:v>
      </x:c>
      <x:c r="I5" s="53" t="str">
        <x:v>EF+B</x:v>
      </x:c>
      <x:c r="J5" s="53" t="n">
        <x:v>2</x:v>
      </x:c>
      <x:c r="K5" s="53" t="n">
        <x:v>0</x:v>
      </x:c>
      <x:c r="L5" s="53" t="n">
        <x:v>0</x:v>
      </x:c>
      <x:c r="M5" s="54" t="n">
        <x:v>3719.245200000011</x:v>
      </x:c>
      <x:c r="N5" s="54" t="n">
        <x:v>3888.6490085460246</x:v>
      </x:c>
      <x:c r="O5" s="54" t="n">
        <x:v>2764.155858784914</x:v>
      </x:c>
      <x:c r="P5" s="54" t="n">
        <x:v>1124.4931497611105</x:v>
      </x:c>
      <x:c r="Q5" s="55" t="b">
        <x:v>0</x:v>
      </x:c>
      <x:c r="R5" s="56" t="str">
        <x:v>none</x:v>
      </x:c>
      <x:c r="S5" s="57" t="str">
        <x:v>GCAP estimated restatement; Position_Residency may include GCAP interpolation/extrapolation per documentation</x:v>
      </x:c>
      <x:c r="T5" s="57" t="str">
        <x:v>diagonal set to zero + within-sample row normalization</x:v>
      </x:c>
      <x:c r="U5" s="57" t="str">
        <x:v>GCAP Restated Bilateral External Portfolios v1.8</x:v>
      </x:c>
      <x:c r="V5" s="57" t="str">
        <x:v>IMF CPIS</x:v>
      </x:c>
      <x:c r="W5" s="58" t="str">
        <x:v>https://globalcapitalallocation.s3.us-east-2.amazonaws.com/Restated_Bilateral_External_Portfolios_ReadMe.pdf</x:v>
      </x:c>
      <x:c r="X5" s="59" t="n">
        <x:v>0.0058880639081212716</x:v>
      </x:c>
      <x:c r="Y5" s="59" t="n">
        <x:v>0.0058462476981976375</x:v>
      </x:c>
      <x:c r="Z5" s="59" t="n">
        <x:v>0.006474298483170584</x:v>
      </x:c>
      <x:c r="AA5" s="59" t="n">
        <x:v>0.004816100490949497</x:v>
      </x:c>
    </x:row>
    <x:row r="6">
      <x:c r="A6" s="53" t="str">
        <x:v>AU</x:v>
      </x:c>
      <x:c r="B6" s="53" t="str">
        <x:v>AUS</x:v>
      </x:c>
      <x:c r="C6" s="53" t="str">
        <x:v>Australia</x:v>
      </x:c>
      <x:c r="D6" s="53" t="str">
        <x:v>CA</x:v>
      </x:c>
      <x:c r="E6" s="53" t="str">
        <x:v>CAN</x:v>
      </x:c>
      <x:c r="F6" s="53" t="str">
        <x:v>Canada</x:v>
      </x:c>
      <x:c r="G6" s="53" t="n">
        <x:v>2017</x:v>
      </x:c>
      <x:c r="H6" s="53" t="str">
        <x:v>Fund Holdings</x:v>
      </x:c>
      <x:c r="I6" s="53" t="str">
        <x:v>EF+B</x:v>
      </x:c>
      <x:c r="J6" s="53" t="n">
        <x:v>2</x:v>
      </x:c>
      <x:c r="K6" s="53" t="n">
        <x:v>0</x:v>
      </x:c>
      <x:c r="L6" s="53" t="n">
        <x:v>0</x:v>
      </x:c>
      <x:c r="M6" s="54" t="n">
        <x:v>24052.080000000016</x:v>
      </x:c>
      <x:c r="N6" s="54" t="n">
        <x:v>24419.37221890266</x:v>
      </x:c>
      <x:c r="O6" s="54" t="n">
        <x:v>10502.111443867529</x:v>
      </x:c>
      <x:c r="P6" s="54" t="n">
        <x:v>13917.26077503513</x:v>
      </x:c>
      <x:c r="Q6" s="55" t="b">
        <x:v>0</x:v>
      </x:c>
      <x:c r="R6" s="56" t="str">
        <x:v>none</x:v>
      </x:c>
      <x:c r="S6" s="57" t="str">
        <x:v>GCAP estimated restatement; Position_Residency may include GCAP interpolation/extrapolation per documentation</x:v>
      </x:c>
      <x:c r="T6" s="57" t="str">
        <x:v>diagonal set to zero + within-sample row normalization</x:v>
      </x:c>
      <x:c r="U6" s="57" t="str">
        <x:v>GCAP Restated Bilateral External Portfolios v1.8</x:v>
      </x:c>
      <x:c r="V6" s="57" t="str">
        <x:v>IMF CPIS</x:v>
      </x:c>
      <x:c r="W6" s="58" t="str">
        <x:v>https://globalcapitalallocation.s3.us-east-2.amazonaws.com/Restated_Bilateral_External_Portfolios_ReadMe.pdf</x:v>
      </x:c>
      <x:c r="X6" s="59" t="n">
        <x:v>0.036975006976744544</x:v>
      </x:c>
      <x:c r="Y6" s="59" t="n">
        <x:v>0.037807245765045315</x:v>
      </x:c>
      <x:c r="Z6" s="59" t="n">
        <x:v>0.02459839736425324</x:v>
      </x:c>
      <x:c r="AA6" s="59" t="n">
        <x:v>0.059606344836834434</x:v>
      </x:c>
    </x:row>
    <x:row r="7">
      <x:c r="A7" s="53" t="str">
        <x:v>AU</x:v>
      </x:c>
      <x:c r="B7" s="53" t="str">
        <x:v>AUS</x:v>
      </x:c>
      <x:c r="C7" s="53" t="str">
        <x:v>Australia</x:v>
      </x:c>
      <x:c r="D7" s="53" t="str">
        <x:v>CH</x:v>
      </x:c>
      <x:c r="E7" s="53" t="str">
        <x:v>CHE</x:v>
      </x:c>
      <x:c r="F7" s="53" t="str">
        <x:v>Switzerland</x:v>
      </x:c>
      <x:c r="G7" s="53" t="n">
        <x:v>2017</x:v>
      </x:c>
      <x:c r="H7" s="53" t="str">
        <x:v>Fund Holdings</x:v>
      </x:c>
      <x:c r="I7" s="53" t="str">
        <x:v>EF+B</x:v>
      </x:c>
      <x:c r="J7" s="53" t="n">
        <x:v>2</x:v>
      </x:c>
      <x:c r="K7" s="53" t="n">
        <x:v>0</x:v>
      </x:c>
      <x:c r="L7" s="53" t="n">
        <x:v>0</x:v>
      </x:c>
      <x:c r="M7" s="54" t="n">
        <x:v>13454.22</x:v>
      </x:c>
      <x:c r="N7" s="54" t="n">
        <x:v>14995.512088365853</x:v>
      </x:c>
      <x:c r="O7" s="54" t="n">
        <x:v>11779.187389202416</x:v>
      </x:c>
      <x:c r="P7" s="54" t="n">
        <x:v>3216.324699163437</x:v>
      </x:c>
      <x:c r="Q7" s="55" t="b">
        <x:v>0</x:v>
      </x:c>
      <x:c r="R7" s="56" t="str">
        <x:v>none</x:v>
      </x:c>
      <x:c r="S7" s="57" t="str">
        <x:v>GCAP estimated restatement; Position_Residency may include GCAP interpolation/extrapolation per documentation</x:v>
      </x:c>
      <x:c r="T7" s="57" t="str">
        <x:v>diagonal set to zero + within-sample row normalization</x:v>
      </x:c>
      <x:c r="U7" s="57" t="str">
        <x:v>GCAP Restated Bilateral External Portfolios v1.8</x:v>
      </x:c>
      <x:c r="V7" s="57" t="str">
        <x:v>IMF CPIS</x:v>
      </x:c>
      <x:c r="W7" s="58" t="str">
        <x:v>https://globalcapitalallocation.s3.us-east-2.amazonaws.com/Restated_Bilateral_External_Portfolios_ReadMe.pdf</x:v>
      </x:c>
      <x:c r="X7" s="59" t="n">
        <x:v>0.022705709185184796</x:v>
      </x:c>
      <x:c r="Y7" s="59" t="n">
        <x:v>0.021148566033248998</x:v>
      </x:c>
      <x:c r="Z7" s="59" t="n">
        <x:v>0.02758960744001571</x:v>
      </x:c>
      <x:c r="AA7" s="59" t="n">
        <x:v>0.013775222166524336</x:v>
      </x:c>
    </x:row>
    <x:row r="8">
      <x:c r="A8" s="53" t="str">
        <x:v>AU</x:v>
      </x:c>
      <x:c r="B8" s="53" t="str">
        <x:v>AUS</x:v>
      </x:c>
      <x:c r="C8" s="53" t="str">
        <x:v>Australia</x:v>
      </x:c>
      <x:c r="D8" s="53" t="str">
        <x:v>CN</x:v>
      </x:c>
      <x:c r="E8" s="53" t="str">
        <x:v>CHN</x:v>
      </x:c>
      <x:c r="F8" s="53" t="str">
        <x:v>China</x:v>
      </x:c>
      <x:c r="G8" s="53" t="n">
        <x:v>2017</x:v>
      </x:c>
      <x:c r="H8" s="53" t="str">
        <x:v>Fund Holdings</x:v>
      </x:c>
      <x:c r="I8" s="53" t="str">
        <x:v>EF+B</x:v>
      </x:c>
      <x:c r="J8" s="53" t="n">
        <x:v>2</x:v>
      </x:c>
      <x:c r="K8" s="53" t="n">
        <x:v>0</x:v>
      </x:c>
      <x:c r="L8" s="53" t="n">
        <x:v>0</x:v>
      </x:c>
      <x:c r="M8" s="54" t="n">
        <x:v>11659.440000000019</x:v>
      </x:c>
      <x:c r="N8" s="54" t="n">
        <x:v>36775.84693355765</x:v>
      </x:c>
      <x:c r="O8" s="54" t="n">
        <x:v>29456.52944280114</x:v>
      </x:c>
      <x:c r="P8" s="54" t="n">
        <x:v>7319.317490756512</x:v>
      </x:c>
      <x:c r="Q8" s="55" t="b">
        <x:v>0</x:v>
      </x:c>
      <x:c r="R8" s="56" t="str">
        <x:v>none</x:v>
      </x:c>
      <x:c r="S8" s="57" t="str">
        <x:v>GCAP estimated restatement; Position_Residency may include GCAP interpolation/extrapolation per documentation</x:v>
      </x:c>
      <x:c r="T8" s="57" t="str">
        <x:v>diagonal set to zero + within-sample row normalization</x:v>
      </x:c>
      <x:c r="U8" s="57" t="str">
        <x:v>GCAP Restated Bilateral External Portfolios v1.8</x:v>
      </x:c>
      <x:c r="V8" s="57" t="str">
        <x:v>IMF CPIS</x:v>
      </x:c>
      <x:c r="W8" s="58" t="str">
        <x:v>https://globalcapitalallocation.s3.us-east-2.amazonaws.com/Restated_Bilateral_External_Portfolios_ReadMe.pdf</x:v>
      </x:c>
      <x:c r="X8" s="59" t="n">
        <x:v>0.05568477292349855</x:v>
      </x:c>
      <x:c r="Y8" s="59" t="n">
        <x:v>0.018327367677257032</x:v>
      </x:c>
      <x:c r="Z8" s="59" t="n">
        <x:v>0.06899407039038341</x:v>
      </x:c>
      <x:c r="AA8" s="59" t="n">
        <x:v>0.031347962029058485</x:v>
      </x:c>
    </x:row>
    <x:row r="9">
      <x:c r="A9" s="53" t="str">
        <x:v>AU</x:v>
      </x:c>
      <x:c r="B9" s="53" t="str">
        <x:v>AUS</x:v>
      </x:c>
      <x:c r="C9" s="53" t="str">
        <x:v>Australia</x:v>
      </x:c>
      <x:c r="D9" s="53" t="str">
        <x:v>EA</x:v>
      </x:c>
      <x:c r="E9" s="53" t="str">
        <x:v>EMU</x:v>
      </x:c>
      <x:c r="F9" s="53" t="str">
        <x:v>European Monetary Union</x:v>
      </x:c>
      <x:c r="G9" s="53" t="n">
        <x:v>2017</x:v>
      </x:c>
      <x:c r="H9" s="53" t="str">
        <x:v>Fund Holdings</x:v>
      </x:c>
      <x:c r="I9" s="53" t="str">
        <x:v>EF+B</x:v>
      </x:c>
      <x:c r="J9" s="53" t="n">
        <x:v>38</x:v>
      </x:c>
      <x:c r="K9" s="53" t="n">
        <x:v>0</x:v>
      </x:c>
      <x:c r="L9" s="53" t="n">
        <x:v>0</x:v>
      </x:c>
      <x:c r="M9" s="54" t="n">
        <x:v>112062.78960000009</x:v>
      </x:c>
      <x:c r="N9" s="54" t="n">
        <x:v>109842.8829707824</x:v>
      </x:c>
      <x:c r="O9" s="54" t="n">
        <x:v>50947.45705044776</x:v>
      </x:c>
      <x:c r="P9" s="54" t="n">
        <x:v>58895.425920334645</x:v>
      </x:c>
      <x:c r="Q9" s="55" t="b">
        <x:v>0</x:v>
      </x:c>
      <x:c r="R9" s="56" t="str">
        <x:v>none</x:v>
      </x:c>
      <x:c r="S9" s="57" t="str">
        <x:v>GCAP estimated restatement; Position_Residency may include GCAP interpolation/extrapolation per documentation</x:v>
      </x:c>
      <x:c r="T9" s="57" t="str">
        <x:v>EA issuer aggregation + diagonal set to zero + within-sample row normalization</x:v>
      </x:c>
      <x:c r="U9" s="57" t="str">
        <x:v>GCAP Restated Bilateral External Portfolios v1.8</x:v>
      </x:c>
      <x:c r="V9" s="57" t="str">
        <x:v>IMF CPIS</x:v>
      </x:c>
      <x:c r="W9" s="58" t="str">
        <x:v>https://globalcapitalallocation.s3.us-east-2.amazonaws.com/Restated_Bilateral_External_Portfolios_ReadMe.pdf</x:v>
      </x:c>
      <x:c r="X9" s="59" t="n">
        <x:v>0.16632046589004915</x:v>
      </x:c>
      <x:c r="Y9" s="59" t="n">
        <x:v>0.17615047960607833</x:v>
      </x:c>
      <x:c r="Z9" s="59" t="n">
        <x:v>0.11933084122402188</x:v>
      </x:c>
      <x:c r="AA9" s="59" t="n">
        <x:v>0.2522436795189564</x:v>
      </x:c>
    </x:row>
    <x:row r="10">
      <x:c r="A10" s="53" t="str">
        <x:v>AU</x:v>
      </x:c>
      <x:c r="B10" s="53" t="str">
        <x:v>AUS</x:v>
      </x:c>
      <x:c r="C10" s="53" t="str">
        <x:v>Australia</x:v>
      </x:c>
      <x:c r="D10" s="53" t="str">
        <x:v>UK</x:v>
      </x:c>
      <x:c r="E10" s="53" t="str">
        <x:v>GBR</x:v>
      </x:c>
      <x:c r="F10" s="53" t="str">
        <x:v>United Kingdom</x:v>
      </x:c>
      <x:c r="G10" s="53" t="n">
        <x:v>2017</x:v>
      </x:c>
      <x:c r="H10" s="53" t="str">
        <x:v>Fund Holdings</x:v>
      </x:c>
      <x:c r="I10" s="53" t="str">
        <x:v>EF+B</x:v>
      </x:c>
      <x:c r="J10" s="53" t="n">
        <x:v>2</x:v>
      </x:c>
      <x:c r="K10" s="53" t="n">
        <x:v>0</x:v>
      </x:c>
      <x:c r="L10" s="53" t="n">
        <x:v>0</x:v>
      </x:c>
      <x:c r="M10" s="54" t="n">
        <x:v>56387.74440000014</x:v>
      </x:c>
      <x:c r="N10" s="54" t="n">
        <x:v>52222.68337930774</x:v>
      </x:c>
      <x:c r="O10" s="54" t="n">
        <x:v>34239.898106500856</x:v>
      </x:c>
      <x:c r="P10" s="54" t="n">
        <x:v>17982.785272806883</x:v>
      </x:c>
      <x:c r="Q10" s="55" t="b">
        <x:v>0</x:v>
      </x:c>
      <x:c r="R10" s="56" t="str">
        <x:v>none</x:v>
      </x:c>
      <x:c r="S10" s="57" t="str">
        <x:v>GCAP estimated restatement; Position_Residency may include GCAP interpolation/extrapolation per documentation</x:v>
      </x:c>
      <x:c r="T10" s="57" t="str">
        <x:v>diagonal set to zero + within-sample row normalization</x:v>
      </x:c>
      <x:c r="U10" s="57" t="str">
        <x:v>GCAP Restated Bilateral External Portfolios v1.8</x:v>
      </x:c>
      <x:c r="V10" s="57" t="str">
        <x:v>IMF CPIS</x:v>
      </x:c>
      <x:c r="W10" s="58" t="str">
        <x:v>https://globalcapitalallocation.s3.us-east-2.amazonaws.com/Restated_Bilateral_External_Portfolios_ReadMe.pdf</x:v>
      </x:c>
      <x:c r="X10" s="59" t="n">
        <x:v>0.07907386254588145</x:v>
      </x:c>
      <x:c r="Y10" s="59" t="n">
        <x:v>0.08863538249778653</x:v>
      </x:c>
      <x:c r="Z10" s="59" t="n">
        <x:v>0.08019783677186754</x:v>
      </x:c>
      <x:c r="AA10" s="59" t="n">
        <x:v>0.07701861145121564</x:v>
      </x:c>
    </x:row>
    <x:row r="11">
      <x:c r="A11" s="53" t="str">
        <x:v>AU</x:v>
      </x:c>
      <x:c r="B11" s="53" t="str">
        <x:v>AUS</x:v>
      </x:c>
      <x:c r="C11" s="53" t="str">
        <x:v>Australia</x:v>
      </x:c>
      <x:c r="D11" s="53" t="str">
        <x:v>JP</x:v>
      </x:c>
      <x:c r="E11" s="53" t="str">
        <x:v>JPN</x:v>
      </x:c>
      <x:c r="F11" s="53" t="str">
        <x:v>Japan</x:v>
      </x:c>
      <x:c r="G11" s="53" t="n">
        <x:v>2017</x:v>
      </x:c>
      <x:c r="H11" s="53" t="str">
        <x:v>Fund Holdings</x:v>
      </x:c>
      <x:c r="I11" s="53" t="str">
        <x:v>EF+B</x:v>
      </x:c>
      <x:c r="J11" s="53" t="n">
        <x:v>2</x:v>
      </x:c>
      <x:c r="K11" s="53" t="n">
        <x:v>0</x:v>
      </x:c>
      <x:c r="L11" s="53" t="n">
        <x:v>0</x:v>
      </x:c>
      <x:c r="M11" s="54" t="n">
        <x:v>44362.5</x:v>
      </x:c>
      <x:c r="N11" s="54" t="n">
        <x:v>46114.3267674027</x:v>
      </x:c>
      <x:c r="O11" s="54" t="n">
        <x:v>27561.95361753553</x:v>
      </x:c>
      <x:c r="P11" s="54" t="n">
        <x:v>18552.37314986717</x:v>
      </x:c>
      <x:c r="Q11" s="55" t="b">
        <x:v>0</x:v>
      </x:c>
      <x:c r="R11" s="56" t="str">
        <x:v>none</x:v>
      </x:c>
      <x:c r="S11" s="57" t="str">
        <x:v>GCAP estimated restatement; Position_Residency may include GCAP interpolation/extrapolation per documentation</x:v>
      </x:c>
      <x:c r="T11" s="57" t="str">
        <x:v>diagonal set to zero + within-sample row normalization</x:v>
      </x:c>
      <x:c r="U11" s="57" t="str">
        <x:v>GCAP Restated Bilateral External Portfolios v1.8</x:v>
      </x:c>
      <x:c r="V11" s="57" t="str">
        <x:v>IMF CPIS</x:v>
      </x:c>
      <x:c r="W11" s="58" t="str">
        <x:v>https://globalcapitalallocation.s3.us-east-2.amazonaws.com/Restated_Bilateral_External_Portfolios_ReadMe.pdf</x:v>
      </x:c>
      <x:c r="X11" s="59" t="n">
        <x:v>0.0698247906894477</x:v>
      </x:c>
      <x:c r="Y11" s="59" t="n">
        <x:v>0.06973301021166659</x:v>
      </x:c>
      <x:c r="Z11" s="59" t="n">
        <x:v>0.06455653140256354</x:v>
      </x:c>
      <x:c r="AA11" s="59" t="n">
        <x:v>0.0794581038171155</x:v>
      </x:c>
    </x:row>
    <x:row r="12">
      <x:c r="A12" s="53" t="str">
        <x:v>AU</x:v>
      </x:c>
      <x:c r="B12" s="53" t="str">
        <x:v>AUS</x:v>
      </x:c>
      <x:c r="C12" s="53" t="str">
        <x:v>Australia</x:v>
      </x:c>
      <x:c r="D12" s="53" t="str">
        <x:v>KR</x:v>
      </x:c>
      <x:c r="E12" s="53" t="str">
        <x:v>KOR</x:v>
      </x:c>
      <x:c r="F12" s="53" t="str">
        <x:v>Korea, Republic of</x:v>
      </x:c>
      <x:c r="G12" s="53" t="n">
        <x:v>2017</x:v>
      </x:c>
      <x:c r="H12" s="53" t="str">
        <x:v>Fund Holdings</x:v>
      </x:c>
      <x:c r="I12" s="53" t="str">
        <x:v>EF+B</x:v>
      </x:c>
      <x:c r="J12" s="53" t="n">
        <x:v>2</x:v>
      </x:c>
      <x:c r="K12" s="53" t="n">
        <x:v>0</x:v>
      </x:c>
      <x:c r="L12" s="53" t="n">
        <x:v>0</x:v>
      </x:c>
      <x:c r="M12" s="54" t="n">
        <x:v>11112.632400000026</x:v>
      </x:c>
      <x:c r="N12" s="54" t="n">
        <x:v>11401.203547705314</x:v>
      </x:c>
      <x:c r="O12" s="54" t="n">
        <x:v>7149.468798864982</x:v>
      </x:c>
      <x:c r="P12" s="54" t="n">
        <x:v>4251.734748840332</x:v>
      </x:c>
      <x:c r="Q12" s="55" t="b">
        <x:v>0</x:v>
      </x:c>
      <x:c r="R12" s="56" t="str">
        <x:v>none</x:v>
      </x:c>
      <x:c r="S12" s="57" t="str">
        <x:v>GCAP estimated restatement; Position_Residency may include GCAP interpolation/extrapolation per documentation</x:v>
      </x:c>
      <x:c r="T12" s="57" t="str">
        <x:v>diagonal set to zero + within-sample row normalization</x:v>
      </x:c>
      <x:c r="U12" s="57" t="str">
        <x:v>GCAP Restated Bilateral External Portfolios v1.8</x:v>
      </x:c>
      <x:c r="V12" s="57" t="str">
        <x:v>IMF CPIS</x:v>
      </x:c>
      <x:c r="W12" s="58" t="str">
        <x:v>https://globalcapitalallocation.s3.us-east-2.amazonaws.com/Restated_Bilateral_External_Portfolios_ReadMe.pdf</x:v>
      </x:c>
      <x:c r="X12" s="59" t="n">
        <x:v>0.017263325893094247</x:v>
      </x:c>
      <x:c r="Y12" s="59" t="n">
        <x:v>0.017467845784788927</x:v>
      </x:c>
      <x:c r="Z12" s="59" t="n">
        <x:v>0.01674572540938935</x:v>
      </x:c>
      <x:c r="AA12" s="59" t="n">
        <x:v>0.01820978795257853</x:v>
      </x:c>
    </x:row>
    <x:row r="13">
      <x:c r="A13" s="53" t="str">
        <x:v>AU</x:v>
      </x:c>
      <x:c r="B13" s="53" t="str">
        <x:v>AUS</x:v>
      </x:c>
      <x:c r="C13" s="53" t="str">
        <x:v>Australia</x:v>
      </x:c>
      <x:c r="D13" s="53" t="str">
        <x:v>NO</x:v>
      </x:c>
      <x:c r="E13" s="53" t="str">
        <x:v>NOR</x:v>
      </x:c>
      <x:c r="F13" s="53" t="str">
        <x:v>Norway</x:v>
      </x:c>
      <x:c r="G13" s="53" t="n">
        <x:v>2017</x:v>
      </x:c>
      <x:c r="H13" s="53" t="str">
        <x:v>Fund Holdings</x:v>
      </x:c>
      <x:c r="I13" s="53" t="str">
        <x:v>EF+B</x:v>
      </x:c>
      <x:c r="J13" s="53" t="n">
        <x:v>2</x:v>
      </x:c>
      <x:c r="K13" s="53" t="n">
        <x:v>0</x:v>
      </x:c>
      <x:c r="L13" s="53" t="n">
        <x:v>0</x:v>
      </x:c>
      <x:c r="M13" s="54" t="n">
        <x:v>5846.689200000014</x:v>
      </x:c>
      <x:c r="N13" s="54" t="n">
        <x:v>5826.860219500959</x:v>
      </x:c>
      <x:c r="O13" s="54" t="n">
        <x:v>681.4544577822089</x:v>
      </x:c>
      <x:c r="P13" s="54" t="n">
        <x:v>5145.40576171875</x:v>
      </x:c>
      <x:c r="Q13" s="55" t="b">
        <x:v>0</x:v>
      </x:c>
      <x:c r="R13" s="56" t="str">
        <x:v>none</x:v>
      </x:c>
      <x:c r="S13" s="57" t="str">
        <x:v>GCAP estimated restatement; Position_Residency may include GCAP interpolation/extrapolation per documentation</x:v>
      </x:c>
      <x:c r="T13" s="57" t="str">
        <x:v>diagonal set to zero + within-sample row normalization</x:v>
      </x:c>
      <x:c r="U13" s="57" t="str">
        <x:v>GCAP Restated Bilateral External Portfolios v1.8</x:v>
      </x:c>
      <x:c r="V13" s="57" t="str">
        <x:v>IMF CPIS</x:v>
      </x:c>
      <x:c r="W13" s="58" t="str">
        <x:v>https://globalcapitalallocation.s3.us-east-2.amazonaws.com/Restated_Bilateral_External_Portfolios_ReadMe.pdf</x:v>
      </x:c>
      <x:c r="X13" s="59" t="n">
        <x:v>0.00882283931532802</x:v>
      </x:c>
      <x:c r="Y13" s="59" t="n">
        <x:v>0.009190357569750165</x:v>
      </x:c>
      <x:c r="Z13" s="59" t="n">
        <x:v>0.0015961254675084125</x:v>
      </x:c>
      <x:c r="AA13" s="59" t="n">
        <x:v>0.022037298511255955</x:v>
      </x:c>
    </x:row>
    <x:row r="14">
      <x:c r="A14" s="53" t="str">
        <x:v>AU</x:v>
      </x:c>
      <x:c r="B14" s="53" t="str">
        <x:v>AUS</x:v>
      </x:c>
      <x:c r="C14" s="53" t="str">
        <x:v>Australia</x:v>
      </x:c>
      <x:c r="D14" s="53" t="str">
        <x:v>SG</x:v>
      </x:c>
      <x:c r="E14" s="53" t="str">
        <x:v>SGP</x:v>
      </x:c>
      <x:c r="F14" s="53" t="str">
        <x:v>Singapore</x:v>
      </x:c>
      <x:c r="G14" s="53" t="n">
        <x:v>2017</x:v>
      </x:c>
      <x:c r="H14" s="53" t="str">
        <x:v>Fund Holdings</x:v>
      </x:c>
      <x:c r="I14" s="53" t="str">
        <x:v>EF+B</x:v>
      </x:c>
      <x:c r="J14" s="53" t="n">
        <x:v>2</x:v>
      </x:c>
      <x:c r="K14" s="53" t="n">
        <x:v>0</x:v>
      </x:c>
      <x:c r="L14" s="53" t="n">
        <x:v>0</x:v>
      </x:c>
      <x:c r="M14" s="54" t="n">
        <x:v>9175.14000000001</x:v>
      </x:c>
      <x:c r="N14" s="54" t="n">
        <x:v>8373.19942510128</x:v>
      </x:c>
      <x:c r="O14" s="54" t="n">
        <x:v>2478.74385869503</x:v>
      </x:c>
      <x:c r="P14" s="54" t="n">
        <x:v>5894.45556640625</x:v>
      </x:c>
      <x:c r="Q14" s="55" t="b">
        <x:v>0</x:v>
      </x:c>
      <x:c r="R14" s="56" t="str">
        <x:v>none</x:v>
      </x:c>
      <x:c r="S14" s="57" t="str">
        <x:v>GCAP estimated restatement; Position_Residency may include GCAP interpolation/extrapolation per documentation</x:v>
      </x:c>
      <x:c r="T14" s="57" t="str">
        <x:v>diagonal set to zero + within-sample row normalization</x:v>
      </x:c>
      <x:c r="U14" s="57" t="str">
        <x:v>GCAP Restated Bilateral External Portfolios v1.8</x:v>
      </x:c>
      <x:c r="V14" s="57" t="str">
        <x:v>IMF CPIS</x:v>
      </x:c>
      <x:c r="W14" s="58" t="str">
        <x:v>https://globalcapitalallocation.s3.us-east-2.amazonaws.com/Restated_Bilateral_External_Portfolios_ReadMe.pdf</x:v>
      </x:c>
      <x:c r="X14" s="59" t="n">
        <x:v>0.01267842204891481</x:v>
      </x:c>
      <x:c r="Y14" s="59" t="n">
        <x:v>0.01442231910540369</x:v>
      </x:c>
      <x:c r="Z14" s="59" t="n">
        <x:v>0.005805796932005194</x:v>
      </x:c>
      <x:c r="AA14" s="59" t="n">
        <x:v>0.02524540976819645</x:v>
      </x:c>
    </x:row>
    <x:row r="15">
      <x:c r="A15" s="53" t="str">
        <x:v>AU</x:v>
      </x:c>
      <x:c r="B15" s="53" t="str">
        <x:v>AUS</x:v>
      </x:c>
      <x:c r="C15" s="53" t="str">
        <x:v>Australia</x:v>
      </x:c>
      <x:c r="D15" s="53" t="str">
        <x:v>TR</x:v>
      </x:c>
      <x:c r="E15" s="53" t="str">
        <x:v>TUR</x:v>
      </x:c>
      <x:c r="F15" s="53" t="str">
        <x:v>Turkey</x:v>
      </x:c>
      <x:c r="G15" s="53" t="n">
        <x:v>2017</x:v>
      </x:c>
      <x:c r="H15" s="53" t="str">
        <x:v>Fund Holdings</x:v>
      </x:c>
      <x:c r="I15" s="53" t="str">
        <x:v>EF+B</x:v>
      </x:c>
      <x:c r="J15" s="53" t="n">
        <x:v>2</x:v>
      </x:c>
      <x:c r="K15" s="53" t="n">
        <x:v>0</x:v>
      </x:c>
      <x:c r="L15" s="53" t="n">
        <x:v>0</x:v>
      </x:c>
      <x:c r="M15" s="54" t="n">
        <x:v>838.500000000001</x:v>
      </x:c>
      <x:c r="N15" s="54" t="n">
        <x:v>834.7690811157227</x:v>
      </x:c>
      <x:c r="O15" s="54" t="n">
        <x:v>752.8690795898438</x:v>
      </x:c>
      <x:c r="P15" s="54" t="n">
        <x:v>81.9000015258789</x:v>
      </x:c>
      <x:c r="Q15" s="55" t="b">
        <x:v>0</x:v>
      </x:c>
      <x:c r="R15" s="56" t="str">
        <x:v>none</x:v>
      </x:c>
      <x:c r="S15" s="57" t="str">
        <x:v>GCAP estimated restatement; Position_Residency may include GCAP interpolation/extrapolation per documentation</x:v>
      </x:c>
      <x:c r="T15" s="57" t="str">
        <x:v>diagonal set to zero + within-sample row normalization</x:v>
      </x:c>
      <x:c r="U15" s="57" t="str">
        <x:v>GCAP Restated Bilateral External Portfolios v1.8</x:v>
      </x:c>
      <x:c r="V15" s="57" t="str">
        <x:v>IMF CPIS</x:v>
      </x:c>
      <x:c r="W15" s="58" t="str">
        <x:v>https://globalcapitalallocation.s3.us-east-2.amazonaws.com/Restated_Bilateral_External_Portfolios_ReadMe.pdf</x:v>
      </x:c>
      <x:c r="X15" s="59" t="n">
        <x:v>0.0012639797748089485</x:v>
      </x:c>
      <x:c r="Y15" s="59" t="n">
        <x:v>0.0013180305226820513</x:v>
      </x:c>
      <x:c r="Z15" s="59" t="n">
        <x:v>0.0017633951879100032</x:v>
      </x:c>
      <x:c r="AA15" s="59" t="n">
        <x:v>0.0003507701559954769</x:v>
      </x:c>
    </x:row>
    <x:row r="16">
      <x:c r="A16" s="53" t="str">
        <x:v>AU</x:v>
      </x:c>
      <x:c r="B16" s="53" t="str">
        <x:v>AUS</x:v>
      </x:c>
      <x:c r="C16" s="53" t="str">
        <x:v>Australia</x:v>
      </x:c>
      <x:c r="D16" s="53" t="str">
        <x:v>US</x:v>
      </x:c>
      <x:c r="E16" s="53" t="str">
        <x:v>USA</x:v>
      </x:c>
      <x:c r="F16" s="53" t="str">
        <x:v>United States</x:v>
      </x:c>
      <x:c r="G16" s="53" t="n">
        <x:v>2017</x:v>
      </x:c>
      <x:c r="H16" s="53" t="str">
        <x:v>Fund Holdings</x:v>
      </x:c>
      <x:c r="I16" s="53" t="str">
        <x:v>EF+B</x:v>
      </x:c>
      <x:c r="J16" s="53" t="n">
        <x:v>2</x:v>
      </x:c>
      <x:c r="K16" s="53" t="n">
        <x:v>0</x:v>
      </x:c>
      <x:c r="L16" s="53" t="n">
        <x:v>0</x:v>
      </x:c>
      <x:c r="M16" s="54" t="n">
        <x:v>341097.1200000002</x:v>
      </x:c>
      <x:c r="N16" s="54" t="n">
        <x:v>343238.76353229315</x:v>
      </x:c>
      <x:c r="O16" s="54" t="n">
        <x:v>246503.58303782064</x:v>
      </x:c>
      <x:c r="P16" s="54" t="n">
        <x:v>96735.1804944725</x:v>
      </x:c>
      <x:c r="Q16" s="55" t="b">
        <x:v>0</x:v>
      </x:c>
      <x:c r="R16" s="56" t="str">
        <x:v>none</x:v>
      </x:c>
      <x:c r="S16" s="57" t="str">
        <x:v>GCAP estimated restatement; Position_Residency may include GCAP interpolation/extrapolation per documentation</x:v>
      </x:c>
      <x:c r="T16" s="57" t="str">
        <x:v>diagonal set to zero + within-sample row normalization</x:v>
      </x:c>
      <x:c r="U16" s="57" t="str">
        <x:v>GCAP Restated Bilateral External Portfolios v1.8</x:v>
      </x:c>
      <x:c r="V16" s="57" t="str">
        <x:v>IMF CPIS</x:v>
      </x:c>
      <x:c r="W16" s="58" t="str">
        <x:v>https://globalcapitalallocation.s3.us-east-2.amazonaws.com/Restated_Bilateral_External_Portfolios_ReadMe.pdf</x:v>
      </x:c>
      <x:c r="X16" s="59" t="n">
        <x:v>0.5197208004582363</x:v>
      </x:c>
      <x:c r="Y16" s="59" t="n">
        <x:v>0.5361674601776293</x:v>
      </x:c>
      <x:c r="Z16" s="59" t="n">
        <x:v>0.5773689528706349</x:v>
      </x:c>
      <x:c r="AA16" s="59" t="n">
        <x:v>0.4143078598304409</x:v>
      </x:c>
    </x:row>
    <x:row r="17">
      <x:c r="A17" s="53" t="str">
        <x:v>AU</x:v>
      </x:c>
      <x:c r="B17" s="53" t="str">
        <x:v>AUS</x:v>
      </x:c>
      <x:c r="C17" s="53" t="str">
        <x:v>Australia</x:v>
      </x:c>
      <x:c r="D17" s="53" t="str">
        <x:v>ZA</x:v>
      </x:c>
      <x:c r="E17" s="53" t="str">
        <x:v>ZAF</x:v>
      </x:c>
      <x:c r="F17" s="53" t="str">
        <x:v>South Africa</x:v>
      </x:c>
      <x:c r="G17" s="53" t="n">
        <x:v>2017</x:v>
      </x:c>
      <x:c r="H17" s="53" t="str">
        <x:v>Fund Holdings</x:v>
      </x:c>
      <x:c r="I17" s="53" t="str">
        <x:v>EF+B</x:v>
      </x:c>
      <x:c r="J17" s="53" t="n">
        <x:v>2</x:v>
      </x:c>
      <x:c r="K17" s="53" t="n">
        <x:v>0</x:v>
      </x:c>
      <x:c r="L17" s="53" t="n">
        <x:v>0</x:v>
      </x:c>
      <x:c r="M17" s="54" t="n">
        <x:v>2408.365200000006</x:v>
      </x:c>
      <x:c r="N17" s="54" t="n">
        <x:v>2495.0751481009647</x:v>
      </x:c>
      <x:c r="O17" s="54" t="n">
        <x:v>2125.501591558568</x:v>
      </x:c>
      <x:c r="P17" s="54" t="n">
        <x:v>369.57355654239655</x:v>
      </x:c>
      <x:c r="Q17" s="55" t="b">
        <x:v>0</x:v>
      </x:c>
      <x:c r="R17" s="56" t="str">
        <x:v>none</x:v>
      </x:c>
      <x:c r="S17" s="57" t="str">
        <x:v>GCAP estimated restatement; Position_Residency may include GCAP interpolation/extrapolation per documentation</x:v>
      </x:c>
      <x:c r="T17" s="57" t="str">
        <x:v>diagonal set to zero + within-sample row normalization</x:v>
      </x:c>
      <x:c r="U17" s="57" t="str">
        <x:v>GCAP Restated Bilateral External Portfolios v1.8</x:v>
      </x:c>
      <x:c r="V17" s="57" t="str">
        <x:v>IMF CPIS</x:v>
      </x:c>
      <x:c r="W17" s="58" t="str">
        <x:v>https://globalcapitalallocation.s3.us-east-2.amazonaws.com/Restated_Bilateral_External_Portfolios_ReadMe.pdf</x:v>
      </x:c>
      <x:c r="X17" s="59" t="n">
        <x:v>0.0037779603906902075</x:v>
      </x:c>
      <x:c r="Y17" s="59" t="n">
        <x:v>0.0037856873504654347</x:v>
      </x:c>
      <x:c r="Z17" s="59" t="n">
        <x:v>0.004978421056276295</x:v>
      </x:c>
      <x:c r="AA17" s="59" t="n">
        <x:v>0.0015828494708784251</x:v>
      </x:c>
    </x:row>
    <x:row r="18">
      <x:c r="A18" s="53" t="str">
        <x:v>BR</x:v>
      </x:c>
      <x:c r="B18" s="53" t="str">
        <x:v>BRA</x:v>
      </x:c>
      <x:c r="C18" s="53" t="str">
        <x:v>Brazil</x:v>
      </x:c>
      <x:c r="D18" s="53" t="str">
        <x:v>AU</x:v>
      </x:c>
      <x:c r="E18" s="53" t="str">
        <x:v>AUS</x:v>
      </x:c>
      <x:c r="F18" s="53" t="str">
        <x:v>Australia</x:v>
      </x:c>
      <x:c r="G18" s="53" t="n">
        <x:v>2017</x:v>
      </x:c>
      <x:c r="H18" s="53" t="str">
        <x:v>Issuance</x:v>
      </x:c>
      <x:c r="I18" s="53" t="str">
        <x:v>EF+B</x:v>
      </x:c>
      <x:c r="J18" s="53" t="n">
        <x:v>2</x:v>
      </x:c>
      <x:c r="K18" s="53" t="n">
        <x:v>0</x:v>
      </x:c>
      <x:c r="L18" s="53" t="n">
        <x:v>0</x:v>
      </x:c>
      <x:c r="M18" s="54" t="n">
        <x:v>12.91051413</x:v>
      </x:c>
      <x:c r="N18" s="54" t="n">
        <x:v>24.97522241573938</x:v>
      </x:c>
      <x:c r="O18" s="54" t="n">
        <x:v>16.212147434981716</x:v>
      </x:c>
      <x:c r="P18" s="54" t="n">
        <x:v>8.763074980757665</x:v>
      </x:c>
      <x:c r="Q18" s="55" t="b">
        <x:v>0</x:v>
      </x:c>
      <x:c r="R18" s="56" t="str">
        <x:v>none</x:v>
      </x:c>
      <x:c r="S18" s="57" t="str">
        <x:v>GCAP estimated restatement; Position_Residency may include GCAP interpolation/extrapolation per documentation</x:v>
      </x:c>
      <x:c r="T18" s="57" t="str">
        <x:v>diagonal set to zero + within-sample row normalization</x:v>
      </x:c>
      <x:c r="U18" s="57" t="str">
        <x:v>GCAP Restated Bilateral External Portfolios v1.8</x:v>
      </x:c>
      <x:c r="V18" s="57" t="str">
        <x:v>IMF CPIS</x:v>
      </x:c>
      <x:c r="W18" s="58" t="str">
        <x:v>https://globalcapitalallocation.s3.us-east-2.amazonaws.com/Restated_Bilateral_External_Portfolios_ReadMe.pdf</x:v>
      </x:c>
      <x:c r="X18" s="59" t="n">
        <x:v>0.0008365378437861405</x:v>
      </x:c>
      <x:c r="Y18" s="59" t="n">
        <x:v>0.0005074383052476192</x:v>
      </x:c>
      <x:c r="Z18" s="59" t="n">
        <x:v>0.0007384811935765939</x:v>
      </x:c>
      <x:c r="AA18" s="59" t="n">
        <x:v>0.0011089559132544293</x:v>
      </x:c>
    </x:row>
    <x:row r="19">
      <x:c r="A19" s="53" t="str">
        <x:v>BR</x:v>
      </x:c>
      <x:c r="B19" s="53" t="str">
        <x:v>BRA</x:v>
      </x:c>
      <x:c r="C19" s="53" t="str">
        <x:v>Brazil</x:v>
      </x:c>
      <x:c r="D19" s="53" t="str">
        <x:v>BR</x:v>
      </x:c>
      <x:c r="E19" s="53" t="str">
        <x:v>BRA</x:v>
      </x:c>
      <x:c r="F19" s="53" t="str">
        <x:v>Brazil</x:v>
      </x:c>
      <x:c r="G19" s="53" t="n">
        <x:v>2017</x:v>
      </x:c>
      <x:c r="H19" s="53" t="str">
        <x:v>Issuance</x:v>
      </x:c>
      <x:c r="I19" s="53" t="str">
        <x:v>EF+B</x:v>
      </x:c>
      <x:c r="J19" s="53" t="n">
        <x:v>2</x:v>
      </x:c>
      <x:c r="K19" s="53" t="n">
        <x:v>0</x:v>
      </x:c>
      <x:c r="L19" s="53" t="n">
        <x:v>0</x:v>
      </x:c>
      <x:c r="M19" s="54" t="n">
        <x:v>0</x:v>
      </x:c>
      <x:c r="N19" s="54" t="n">
        <x:v>38.65043625421822</x:v>
      </x:c>
      <x:c r="O19" s="54" t="n">
        <x:v>9.548212457448244</x:v>
      </x:c>
      <x:c r="P19" s="54" t="n">
        <x:v>29.102223796769977</x:v>
      </x:c>
      <x:c r="Q19" s="55" t="b">
        <x:v>1</x:v>
      </x:c>
      <x:c r="R19" s="56" t="str">
        <x:v>none</x:v>
      </x:c>
      <x:c r="S19" s="57" t="str">
        <x:v>GCAP estimated restatement; Position_Residency may include GCAP interpolation/extrapolation per documentation</x:v>
      </x:c>
      <x:c r="T19" s="57" t="str">
        <x:v>EA issuer aggregation + diagonal set to zero + within-sample row normalization</x:v>
      </x:c>
      <x:c r="U19" s="57" t="str">
        <x:v>GCAP Restated Bilateral External Portfolios v1.8</x:v>
      </x:c>
      <x:c r="V19" s="57" t="str">
        <x:v>IMF CPIS</x:v>
      </x:c>
      <x:c r="W19" s="58" t="str">
        <x:v>https://globalcapitalallocation.s3.us-east-2.amazonaws.com/Restated_Bilateral_External_Portfolios_ReadMe.pdf</x:v>
      </x:c>
      <x:c r="X19" s="59" t="n">
        <x:v>0</x:v>
      </x:c>
      <x:c r="Y19" s="59" t="n">
        <x:v>0</x:v>
      </x:c>
      <x:c r="Z19" s="59" t="n">
        <x:v>0</x:v>
      </x:c>
      <x:c r="AA19" s="59" t="n">
        <x:v>0</x:v>
      </x:c>
    </x:row>
    <x:row r="20">
      <x:c r="A20" s="53" t="str">
        <x:v>BR</x:v>
      </x:c>
      <x:c r="B20" s="53" t="str">
        <x:v>BRA</x:v>
      </x:c>
      <x:c r="C20" s="53" t="str">
        <x:v>Brazil</x:v>
      </x:c>
      <x:c r="D20" s="53" t="str">
        <x:v>CA</x:v>
      </x:c>
      <x:c r="E20" s="53" t="str">
        <x:v>CAN</x:v>
      </x:c>
      <x:c r="F20" s="53" t="str">
        <x:v>Canada</x:v>
      </x:c>
      <x:c r="G20" s="53" t="n">
        <x:v>2017</x:v>
      </x:c>
      <x:c r="H20" s="53" t="str">
        <x:v>Issuance</x:v>
      </x:c>
      <x:c r="I20" s="53" t="str">
        <x:v>EF+B</x:v>
      </x:c>
      <x:c r="J20" s="53" t="n">
        <x:v>2</x:v>
      </x:c>
      <x:c r="K20" s="53" t="n">
        <x:v>0</x:v>
      </x:c>
      <x:c r="L20" s="53" t="n">
        <x:v>0</x:v>
      </x:c>
      <x:c r="M20" s="54" t="n">
        <x:v>119.14098115</x:v>
      </x:c>
      <x:c r="N20" s="54" t="n">
        <x:v>212.20715926177218</x:v>
      </x:c>
      <x:c r="O20" s="54" t="n">
        <x:v>168.16009447348188</x:v>
      </x:c>
      <x:c r="P20" s="54" t="n">
        <x:v>44.0470647882903</x:v>
      </x:c>
      <x:c r="Q20" s="55" t="b">
        <x:v>0</x:v>
      </x:c>
      <x:c r="R20" s="56" t="str">
        <x:v>none</x:v>
      </x:c>
      <x:c r="S20" s="57" t="str">
        <x:v>GCAP estimated restatement; Position_Residency may include GCAP interpolation/extrapolation per documentation</x:v>
      </x:c>
      <x:c r="T20" s="57" t="str">
        <x:v>diagonal set to zero + within-sample row normalization</x:v>
      </x:c>
      <x:c r="U20" s="57" t="str">
        <x:v>GCAP Restated Bilateral External Portfolios v1.8</x:v>
      </x:c>
      <x:c r="V20" s="57" t="str">
        <x:v>IMF CPIS</x:v>
      </x:c>
      <x:c r="W20" s="58" t="str">
        <x:v>https://globalcapitalallocation.s3.us-east-2.amazonaws.com/Restated_Bilateral_External_Portfolios_ReadMe.pdf</x:v>
      </x:c>
      <x:c r="X20" s="59" t="n">
        <x:v>0.0071078173595343986</x:v>
      </x:c>
      <x:c r="Y20" s="59" t="n">
        <x:v>0.004682749033193967</x:v>
      </x:c>
      <x:c r="Z20" s="59" t="n">
        <x:v>0.007659877741475137</x:v>
      </x:c>
      <x:c r="AA20" s="59" t="n">
        <x:v>0.005574099624359506</x:v>
      </x:c>
    </x:row>
    <x:row r="21">
      <x:c r="A21" s="53" t="str">
        <x:v>BR</x:v>
      </x:c>
      <x:c r="B21" s="53" t="str">
        <x:v>BRA</x:v>
      </x:c>
      <x:c r="C21" s="53" t="str">
        <x:v>Brazil</x:v>
      </x:c>
      <x:c r="D21" s="53" t="str">
        <x:v>CH</x:v>
      </x:c>
      <x:c r="E21" s="53" t="str">
        <x:v>CHE</x:v>
      </x:c>
      <x:c r="F21" s="53" t="str">
        <x:v>Switzerland</x:v>
      </x:c>
      <x:c r="G21" s="53" t="n">
        <x:v>2017</x:v>
      </x:c>
      <x:c r="H21" s="53" t="str">
        <x:v>Issuance</x:v>
      </x:c>
      <x:c r="I21" s="53" t="str">
        <x:v>EF+B</x:v>
      </x:c>
      <x:c r="J21" s="53" t="n">
        <x:v>2</x:v>
      </x:c>
      <x:c r="K21" s="53" t="n">
        <x:v>0</x:v>
      </x:c>
      <x:c r="L21" s="53" t="n">
        <x:v>0</x:v>
      </x:c>
      <x:c r="M21" s="54" t="n">
        <x:v>2417.79597758</x:v>
      </x:c>
      <x:c r="N21" s="54" t="n">
        <x:v>2367.1042260899007</x:v>
      </x:c>
      <x:c r="O21" s="54" t="n">
        <x:v>1899.4960064354268</x:v>
      </x:c>
      <x:c r="P21" s="54" t="n">
        <x:v>467.60821965447394</x:v>
      </x:c>
      <x:c r="Q21" s="55" t="b">
        <x:v>0</x:v>
      </x:c>
      <x:c r="R21" s="56" t="str">
        <x:v>none</x:v>
      </x:c>
      <x:c r="S21" s="57" t="str">
        <x:v>GCAP estimated restatement; Position_Residency may include GCAP interpolation/extrapolation per documentation</x:v>
      </x:c>
      <x:c r="T21" s="57" t="str">
        <x:v>diagonal set to zero + within-sample row normalization</x:v>
      </x:c>
      <x:c r="U21" s="57" t="str">
        <x:v>GCAP Restated Bilateral External Portfolios v1.8</x:v>
      </x:c>
      <x:c r="V21" s="57" t="str">
        <x:v>IMF CPIS</x:v>
      </x:c>
      <x:c r="W21" s="58" t="str">
        <x:v>https://globalcapitalallocation.s3.us-east-2.amazonaws.com/Restated_Bilateral_External_Portfolios_ReadMe.pdf</x:v>
      </x:c>
      <x:c r="X21" s="59" t="n">
        <x:v>0.07928547070965832</x:v>
      </x:c>
      <x:c r="Y21" s="59" t="n">
        <x:v>0.0950297006721688</x:v>
      </x:c>
      <x:c r="Z21" s="59" t="n">
        <x:v>0.0865241377585578</x:v>
      </x:c>
      <x:c r="AA21" s="59" t="n">
        <x:v>0.05917522118786777</x:v>
      </x:c>
    </x:row>
    <x:row r="22">
      <x:c r="A22" s="53" t="str">
        <x:v>BR</x:v>
      </x:c>
      <x:c r="B22" s="53" t="str">
        <x:v>BRA</x:v>
      </x:c>
      <x:c r="C22" s="53" t="str">
        <x:v>Brazil</x:v>
      </x:c>
      <x:c r="D22" s="53" t="str">
        <x:v>CN</x:v>
      </x:c>
      <x:c r="E22" s="53" t="str">
        <x:v>CHN</x:v>
      </x:c>
      <x:c r="F22" s="53" t="str">
        <x:v>China</x:v>
      </x:c>
      <x:c r="G22" s="53" t="n">
        <x:v>2017</x:v>
      </x:c>
      <x:c r="H22" s="53" t="str">
        <x:v>Issuance</x:v>
      </x:c>
      <x:c r="I22" s="53" t="str">
        <x:v>EF+B</x:v>
      </x:c>
      <x:c r="J22" s="53" t="n">
        <x:v>2</x:v>
      </x:c>
      <x:c r="K22" s="53" t="n">
        <x:v>0</x:v>
      </x:c>
      <x:c r="L22" s="53" t="n">
        <x:v>0</x:v>
      </x:c>
      <x:c r="M22" s="54" t="n">
        <x:v>7.6857181699999995</x:v>
      </x:c>
      <x:c r="N22" s="54" t="n">
        <x:v>3346.731102590671</x:v>
      </x:c>
      <x:c r="O22" s="54" t="n">
        <x:v>3284.3129790691637</x:v>
      </x:c>
      <x:c r="P22" s="54" t="n">
        <x:v>62.41812352150737</x:v>
      </x:c>
      <x:c r="Q22" s="55" t="b">
        <x:v>0</x:v>
      </x:c>
      <x:c r="R22" s="56" t="str">
        <x:v>none</x:v>
      </x:c>
      <x:c r="S22" s="57" t="str">
        <x:v>GCAP estimated restatement; Position_Residency may include GCAP interpolation/extrapolation per documentation</x:v>
      </x:c>
      <x:c r="T22" s="57" t="str">
        <x:v>diagonal set to zero + within-sample row normalization</x:v>
      </x:c>
      <x:c r="U22" s="57" t="str">
        <x:v>GCAP Restated Bilateral External Portfolios v1.8</x:v>
      </x:c>
      <x:c r="V22" s="57" t="str">
        <x:v>IMF CPIS</x:v>
      </x:c>
      <x:c r="W22" s="58" t="str">
        <x:v>https://globalcapitalallocation.s3.us-east-2.amazonaws.com/Restated_Bilateral_External_Portfolios_ReadMe.pdf</x:v>
      </x:c>
      <x:c r="X22" s="59" t="n">
        <x:v>0.11209778930852936</x:v>
      </x:c>
      <x:c r="Y22" s="59" t="n">
        <x:v>0.00030208152545475994</x:v>
      </x:c>
      <x:c r="Z22" s="59" t="n">
        <x:v>0.14960407796617292</x:v>
      </x:c>
      <x:c r="AA22" s="59" t="n">
        <x:v>0.007898933573593163</x:v>
      </x:c>
    </x:row>
    <x:row r="23">
      <x:c r="A23" s="53" t="str">
        <x:v>BR</x:v>
      </x:c>
      <x:c r="B23" s="53" t="str">
        <x:v>BRA</x:v>
      </x:c>
      <x:c r="C23" s="53" t="str">
        <x:v>Brazil</x:v>
      </x:c>
      <x:c r="D23" s="53" t="str">
        <x:v>EA</x:v>
      </x:c>
      <x:c r="E23" s="53" t="str">
        <x:v>EMU</x:v>
      </x:c>
      <x:c r="F23" s="53" t="str">
        <x:v>European Monetary Union</x:v>
      </x:c>
      <x:c r="G23" s="53" t="n">
        <x:v>2017</x:v>
      </x:c>
      <x:c r="H23" s="53" t="str">
        <x:v>Issuance</x:v>
      </x:c>
      <x:c r="I23" s="53" t="str">
        <x:v>EF+B</x:v>
      </x:c>
      <x:c r="J23" s="53" t="n">
        <x:v>38</x:v>
      </x:c>
      <x:c r="K23" s="53" t="n">
        <x:v>0</x:v>
      </x:c>
      <x:c r="L23" s="53" t="n">
        <x:v>0</x:v>
      </x:c>
      <x:c r="M23" s="54" t="n">
        <x:v>7868.654243309825</x:v>
      </x:c>
      <x:c r="N23" s="54" t="n">
        <x:v>7818.8504807010795</x:v>
      </x:c>
      <x:c r="O23" s="54" t="n">
        <x:v>4797.510165205844</x:v>
      </x:c>
      <x:c r="P23" s="54" t="n">
        <x:v>3021.340315495236</x:v>
      </x:c>
      <x:c r="Q23" s="55" t="b">
        <x:v>0</x:v>
      </x:c>
      <x:c r="R23" s="56" t="str">
        <x:v>none</x:v>
      </x:c>
      <x:c r="S23" s="57" t="str">
        <x:v>GCAP estimated restatement; Position_Residency may include GCAP interpolation/extrapolation per documentation</x:v>
      </x:c>
      <x:c r="T23" s="57" t="str">
        <x:v>EA issuer aggregation + diagonal set to zero + within-sample row normalization</x:v>
      </x:c>
      <x:c r="U23" s="57" t="str">
        <x:v>GCAP Restated Bilateral External Portfolios v1.8</x:v>
      </x:c>
      <x:c r="V23" s="57" t="str">
        <x:v>IMF CPIS</x:v>
      </x:c>
      <x:c r="W23" s="58" t="str">
        <x:v>https://globalcapitalallocation.s3.us-east-2.amazonaws.com/Restated_Bilateral_External_Portfolios_ReadMe.pdf</x:v>
      </x:c>
      <x:c r="X23" s="59" t="n">
        <x:v>0.26189013307404707</x:v>
      </x:c>
      <x:c r="Y23" s="59" t="n">
        <x:v>0.30927169387673525</x:v>
      </x:c>
      <x:c r="Z23" s="59" t="n">
        <x:v>0.2185318784698709</x:v>
      </x:c>
      <x:c r="AA23" s="59" t="n">
        <x:v>0.3823467465678075</x:v>
      </x:c>
    </x:row>
    <x:row r="24">
      <x:c r="A24" s="53" t="str">
        <x:v>BR</x:v>
      </x:c>
      <x:c r="B24" s="53" t="str">
        <x:v>BRA</x:v>
      </x:c>
      <x:c r="C24" s="53" t="str">
        <x:v>Brazil</x:v>
      </x:c>
      <x:c r="D24" s="53" t="str">
        <x:v>UK</x:v>
      </x:c>
      <x:c r="E24" s="53" t="str">
        <x:v>GBR</x:v>
      </x:c>
      <x:c r="F24" s="53" t="str">
        <x:v>United Kingdom</x:v>
      </x:c>
      <x:c r="G24" s="53" t="n">
        <x:v>2017</x:v>
      </x:c>
      <x:c r="H24" s="53" t="str">
        <x:v>Issuance</x:v>
      </x:c>
      <x:c r="I24" s="53" t="str">
        <x:v>EF+B</x:v>
      </x:c>
      <x:c r="J24" s="53" t="n">
        <x:v>2</x:v>
      </x:c>
      <x:c r="K24" s="53" t="n">
        <x:v>0</x:v>
      </x:c>
      <x:c r="L24" s="53" t="n">
        <x:v>0</x:v>
      </x:c>
      <x:c r="M24" s="54" t="n">
        <x:v>592.1298548999999</x:v>
      </x:c>
      <x:c r="N24" s="54" t="n">
        <x:v>765.5706985707549</x:v>
      </x:c>
      <x:c r="O24" s="54" t="n">
        <x:v>533.0604321907302</x:v>
      </x:c>
      <x:c r="P24" s="54" t="n">
        <x:v>232.51026638002463</x:v>
      </x:c>
      <x:c r="Q24" s="55" t="b">
        <x:v>0</x:v>
      </x:c>
      <x:c r="R24" s="56" t="str">
        <x:v>none</x:v>
      </x:c>
      <x:c r="S24" s="57" t="str">
        <x:v>GCAP estimated restatement; Position_Residency may include GCAP interpolation/extrapolation per documentation</x:v>
      </x:c>
      <x:c r="T24" s="57" t="str">
        <x:v>diagonal set to zero + within-sample row normalization</x:v>
      </x:c>
      <x:c r="U24" s="57" t="str">
        <x:v>GCAP Restated Bilateral External Portfolios v1.8</x:v>
      </x:c>
      <x:c r="V24" s="57" t="str">
        <x:v>IMF CPIS</x:v>
      </x:c>
      <x:c r="W24" s="58" t="str">
        <x:v>https://globalcapitalallocation.s3.us-east-2.amazonaws.com/Restated_Bilateral_External_Portfolios_ReadMe.pdf</x:v>
      </x:c>
      <x:c r="X24" s="59" t="n">
        <x:v>0.025642568894386722</x:v>
      </x:c>
      <x:c r="Y24" s="59" t="n">
        <x:v>0.023273230409839196</x:v>
      </x:c>
      <x:c r="Z24" s="59" t="n">
        <x:v>0.024281490517613802</x:v>
      </x:c>
      <x:c r="AA24" s="59" t="n">
        <x:v>0.029423876363111688</x:v>
      </x:c>
    </x:row>
    <x:row r="25">
      <x:c r="A25" s="53" t="str">
        <x:v>BR</x:v>
      </x:c>
      <x:c r="B25" s="53" t="str">
        <x:v>BRA</x:v>
      </x:c>
      <x:c r="C25" s="53" t="str">
        <x:v>Brazil</x:v>
      </x:c>
      <x:c r="D25" s="53" t="str">
        <x:v>JP</x:v>
      </x:c>
      <x:c r="E25" s="53" t="str">
        <x:v>JPN</x:v>
      </x:c>
      <x:c r="F25" s="53" t="str">
        <x:v>Japan</x:v>
      </x:c>
      <x:c r="G25" s="53" t="n">
        <x:v>2017</x:v>
      </x:c>
      <x:c r="H25" s="53" t="str">
        <x:v>Issuance</x:v>
      </x:c>
      <x:c r="I25" s="53" t="str">
        <x:v>EF+B</x:v>
      </x:c>
      <x:c r="J25" s="53" t="n">
        <x:v>2</x:v>
      </x:c>
      <x:c r="K25" s="53" t="n">
        <x:v>0</x:v>
      </x:c>
      <x:c r="L25" s="53" t="n">
        <x:v>0</x:v>
      </x:c>
      <x:c r="M25" s="54" t="n">
        <x:v>26.503108640000004</x:v>
      </x:c>
      <x:c r="N25" s="54" t="n">
        <x:v>83.41522386149904</x:v>
      </x:c>
      <x:c r="O25" s="54" t="n">
        <x:v>43.76418939418386</x:v>
      </x:c>
      <x:c r="P25" s="54" t="n">
        <x:v>39.651034467315185</x:v>
      </x:c>
      <x:c r="Q25" s="55" t="b">
        <x:v>0</x:v>
      </x:c>
      <x:c r="R25" s="56" t="str">
        <x:v>none</x:v>
      </x:c>
      <x:c r="S25" s="57" t="str">
        <x:v>GCAP estimated restatement; Position_Residency may include GCAP interpolation/extrapolation per documentation</x:v>
      </x:c>
      <x:c r="T25" s="57" t="str">
        <x:v>diagonal set to zero + within-sample row normalization</x:v>
      </x:c>
      <x:c r="U25" s="57" t="str">
        <x:v>GCAP Restated Bilateral External Portfolios v1.8</x:v>
      </x:c>
      <x:c r="V25" s="57" t="str">
        <x:v>IMF CPIS</x:v>
      </x:c>
      <x:c r="W25" s="58" t="str">
        <x:v>https://globalcapitalallocation.s3.us-east-2.amazonaws.com/Restated_Bilateral_External_Portfolios_ReadMe.pdf</x:v>
      </x:c>
      <x:c r="X25" s="59" t="n">
        <x:v>0.0027939687721884425</x:v>
      </x:c>
      <x:c r="Y25" s="59" t="n">
        <x:v>0.001041685280435469</x:v>
      </x:c>
      <x:c r="Z25" s="59" t="n">
        <x:v>0.001993507087777447</x:v>
      </x:c>
      <x:c r="AA25" s="59" t="n">
        <x:v>0.00501778761858575</x:v>
      </x:c>
    </x:row>
    <x:row r="26">
      <x:c r="A26" s="53" t="str">
        <x:v>BR</x:v>
      </x:c>
      <x:c r="B26" s="53" t="str">
        <x:v>BRA</x:v>
      </x:c>
      <x:c r="C26" s="53" t="str">
        <x:v>Brazil</x:v>
      </x:c>
      <x:c r="D26" s="53" t="str">
        <x:v>KR</x:v>
      </x:c>
      <x:c r="E26" s="53" t="str">
        <x:v>KOR</x:v>
      </x:c>
      <x:c r="F26" s="53" t="str">
        <x:v>Korea, Republic of</x:v>
      </x:c>
      <x:c r="G26" s="53" t="n">
        <x:v>2017</x:v>
      </x:c>
      <x:c r="H26" s="53" t="str">
        <x:v>Issuance</x:v>
      </x:c>
      <x:c r="I26" s="53" t="str">
        <x:v>EF+B</x:v>
      </x:c>
      <x:c r="J26" s="53" t="n">
        <x:v>2</x:v>
      </x:c>
      <x:c r="K26" s="53" t="n">
        <x:v>0</x:v>
      </x:c>
      <x:c r="L26" s="53" t="n">
        <x:v>0</x:v>
      </x:c>
      <x:c r="M26" s="54" t="n">
        <x:v>496.18908482999996</x:v>
      </x:c>
      <x:c r="N26" s="54" t="n">
        <x:v>496.5740746366095</x:v>
      </x:c>
      <x:c r="O26" s="54" t="n">
        <x:v>2.7062687286047122</x:v>
      </x:c>
      <x:c r="P26" s="54" t="n">
        <x:v>493.8678059080048</x:v>
      </x:c>
      <x:c r="Q26" s="55" t="b">
        <x:v>0</x:v>
      </x:c>
      <x:c r="R26" s="56" t="str">
        <x:v>none</x:v>
      </x:c>
      <x:c r="S26" s="57" t="str">
        <x:v>GCAP estimated restatement; Position_Residency may include GCAP interpolation/extrapolation per documentation</x:v>
      </x:c>
      <x:c r="T26" s="57" t="str">
        <x:v>diagonal set to zero + within-sample row normalization</x:v>
      </x:c>
      <x:c r="U26" s="57" t="str">
        <x:v>GCAP Restated Bilateral External Portfolios v1.8</x:v>
      </x:c>
      <x:c r="V26" s="57" t="str">
        <x:v>IMF CPIS</x:v>
      </x:c>
      <x:c r="W26" s="58" t="str">
        <x:v>https://globalcapitalallocation.s3.us-east-2.amazonaws.com/Restated_Bilateral_External_Portfolios_ReadMe.pdf</x:v>
      </x:c>
      <x:c r="X26" s="59" t="n">
        <x:v>0.0166326048577978</x:v>
      </x:c>
      <x:c r="Y26" s="59" t="n">
        <x:v>0.019502348686752286</x:v>
      </x:c>
      <x:c r="Z26" s="59" t="n">
        <x:v>0.00012327352492037542</x:v>
      </x:c>
      <x:c r="AA26" s="59" t="n">
        <x:v>0.062498338189538115</x:v>
      </x:c>
    </x:row>
    <x:row r="27">
      <x:c r="A27" s="53" t="str">
        <x:v>BR</x:v>
      </x:c>
      <x:c r="B27" s="53" t="str">
        <x:v>BRA</x:v>
      </x:c>
      <x:c r="C27" s="53" t="str">
        <x:v>Brazil</x:v>
      </x:c>
      <x:c r="D27" s="53" t="str">
        <x:v>NO</x:v>
      </x:c>
      <x:c r="E27" s="53" t="str">
        <x:v>NOR</x:v>
      </x:c>
      <x:c r="F27" s="53" t="str">
        <x:v>Norway</x:v>
      </x:c>
      <x:c r="G27" s="53" t="n">
        <x:v>2017</x:v>
      </x:c>
      <x:c r="H27" s="53" t="str">
        <x:v>Issuance</x:v>
      </x:c>
      <x:c r="I27" s="53" t="str">
        <x:v>EF+B</x:v>
      </x:c>
      <x:c r="J27" s="53" t="n">
        <x:v>2</x:v>
      </x:c>
      <x:c r="K27" s="53" t="n">
        <x:v>0</x:v>
      </x:c>
      <x:c r="L27" s="53" t="n">
        <x:v>0</x:v>
      </x:c>
      <x:c r="M27" s="54" t="n">
        <x:v>7.1308369</x:v>
      </x:c>
      <x:c r="N27" s="54" t="n">
        <x:v>23.078454695696422</x:v>
      </x:c>
      <x:c r="O27" s="54" t="n">
        <x:v>20.906791448339703</x:v>
      </x:c>
      <x:c r="P27" s="54" t="n">
        <x:v>2.171663247356719</x:v>
      </x:c>
      <x:c r="Q27" s="55" t="b">
        <x:v>0</x:v>
      </x:c>
      <x:c r="R27" s="56" t="str">
        <x:v>none</x:v>
      </x:c>
      <x:c r="S27" s="57" t="str">
        <x:v>GCAP estimated restatement; Position_Residency may include GCAP interpolation/extrapolation per documentation</x:v>
      </x:c>
      <x:c r="T27" s="57" t="str">
        <x:v>diagonal set to zero + within-sample row normalization</x:v>
      </x:c>
      <x:c r="U27" s="57" t="str">
        <x:v>GCAP Restated Bilateral External Portfolios v1.8</x:v>
      </x:c>
      <x:c r="V27" s="57" t="str">
        <x:v>IMF CPIS</x:v>
      </x:c>
      <x:c r="W27" s="58" t="str">
        <x:v>https://globalcapitalallocation.s3.us-east-2.amazonaws.com/Restated_Bilateral_External_Portfolios_ReadMe.pdf</x:v>
      </x:c>
      <x:c r="X27" s="59" t="n">
        <x:v>0.0007730061581708829</x:v>
      </x:c>
      <x:c r="Y27" s="59" t="n">
        <x:v>0.00028027232340228935</x:v>
      </x:c>
      <x:c r="Z27" s="59" t="n">
        <x:v>0.0009523274053943515</x:v>
      </x:c>
      <x:c r="AA27" s="59" t="n">
        <x:v>0.00027482120203715607</x:v>
      </x:c>
    </x:row>
    <x:row r="28">
      <x:c r="A28" s="53" t="str">
        <x:v>BR</x:v>
      </x:c>
      <x:c r="B28" s="53" t="str">
        <x:v>BRA</x:v>
      </x:c>
      <x:c r="C28" s="53" t="str">
        <x:v>Brazil</x:v>
      </x:c>
      <x:c r="D28" s="53" t="str">
        <x:v>SG</x:v>
      </x:c>
      <x:c r="E28" s="53" t="str">
        <x:v>SGP</x:v>
      </x:c>
      <x:c r="F28" s="53" t="str">
        <x:v>Singapore</x:v>
      </x:c>
      <x:c r="G28" s="53" t="n">
        <x:v>2017</x:v>
      </x:c>
      <x:c r="H28" s="53" t="str">
        <x:v>Issuance</x:v>
      </x:c>
      <x:c r="I28" s="53" t="str">
        <x:v>EF+B</x:v>
      </x:c>
      <x:c r="J28" s="53" t="n">
        <x:v>2</x:v>
      </x:c>
      <x:c r="K28" s="53" t="n">
        <x:v>0</x:v>
      </x:c>
      <x:c r="L28" s="53" t="n">
        <x:v>0</x:v>
      </x:c>
      <x:c r="M28" s="54" t="n">
        <x:v>35.484180439999996</x:v>
      </x:c>
      <x:c r="N28" s="54" t="n">
        <x:v>156.36274755855504</x:v>
      </x:c>
      <x:c r="O28" s="54" t="n">
        <x:v>149.0377795316</x:v>
      </x:c>
      <x:c r="P28" s="54" t="n">
        <x:v>7.324968026955048</x:v>
      </x:c>
      <x:c r="Q28" s="55" t="b">
        <x:v>0</x:v>
      </x:c>
      <x:c r="R28" s="56" t="str">
        <x:v>none</x:v>
      </x:c>
      <x:c r="S28" s="57" t="str">
        <x:v>GCAP estimated restatement; Position_Residency may include GCAP interpolation/extrapolation per documentation</x:v>
      </x:c>
      <x:c r="T28" s="57" t="str">
        <x:v>diagonal set to zero + within-sample row normalization</x:v>
      </x:c>
      <x:c r="U28" s="57" t="str">
        <x:v>GCAP Restated Bilateral External Portfolios v1.8</x:v>
      </x:c>
      <x:c r="V28" s="57" t="str">
        <x:v>IMF CPIS</x:v>
      </x:c>
      <x:c r="W28" s="58" t="str">
        <x:v>https://globalcapitalallocation.s3.us-east-2.amazonaws.com/Restated_Bilateral_External_Portfolios_ReadMe.pdf</x:v>
      </x:c>
      <x:c r="X28" s="59" t="n">
        <x:v>0.005237324958062355</x:v>
      </x:c>
      <x:c r="Y28" s="59" t="n">
        <x:v>0.001394679731904241</x:v>
      </x:c>
      <x:c r="Z28" s="59" t="n">
        <x:v>0.00678883520877784</x:v>
      </x:c>
      <x:c r="AA28" s="59" t="n">
        <x:v>0.0009269653204757928</x:v>
      </x:c>
    </x:row>
    <x:row r="29">
      <x:c r="A29" s="53" t="str">
        <x:v>BR</x:v>
      </x:c>
      <x:c r="B29" s="53" t="str">
        <x:v>BRA</x:v>
      </x:c>
      <x:c r="C29" s="53" t="str">
        <x:v>Brazil</x:v>
      </x:c>
      <x:c r="D29" s="53" t="str">
        <x:v>TR</x:v>
      </x:c>
      <x:c r="E29" s="53" t="str">
        <x:v>TUR</x:v>
      </x:c>
      <x:c r="F29" s="53" t="str">
        <x:v>Turkey</x:v>
      </x:c>
      <x:c r="G29" s="53" t="n">
        <x:v>2017</x:v>
      </x:c>
      <x:c r="H29" s="53" t="str">
        <x:v>Issuance</x:v>
      </x:c>
      <x:c r="I29" s="53" t="str">
        <x:v>EF+B</x:v>
      </x:c>
      <x:c r="J29" s="53" t="n">
        <x:v>2</x:v>
      </x:c>
      <x:c r="K29" s="53" t="n">
        <x:v>0</x:v>
      </x:c>
      <x:c r="L29" s="53" t="n">
        <x:v>0</x:v>
      </x:c>
      <x:c r="M29" s="54" t="n">
        <x:v>4.68622922</x:v>
      </x:c>
      <x:c r="N29" s="54" t="n">
        <x:v>4.858711624809075</x:v>
      </x:c>
      <x:c r="O29" s="54" t="n">
        <x:v>3.825299058109522</x:v>
      </x:c>
      <x:c r="P29" s="54" t="n">
        <x:v>1.0334125666995533</x:v>
      </x:c>
      <x:c r="Q29" s="55" t="b">
        <x:v>0</x:v>
      </x:c>
      <x:c r="R29" s="56" t="str">
        <x:v>none</x:v>
      </x:c>
      <x:c r="S29" s="57" t="str">
        <x:v>GCAP estimated restatement; Position_Residency may include GCAP interpolation/extrapolation per documentation</x:v>
      </x:c>
      <x:c r="T29" s="57" t="str">
        <x:v>diagonal set to zero + within-sample row normalization</x:v>
      </x:c>
      <x:c r="U29" s="57" t="str">
        <x:v>GCAP Restated Bilateral External Portfolios v1.8</x:v>
      </x:c>
      <x:c r="V29" s="57" t="str">
        <x:v>IMF CPIS</x:v>
      </x:c>
      <x:c r="W29" s="58" t="str">
        <x:v>https://globalcapitalallocation.s3.us-east-2.amazonaws.com/Restated_Bilateral_External_Portfolios_ReadMe.pdf</x:v>
      </x:c>
      <x:c r="X29" s="59" t="n">
        <x:v>0.00016274113913936536</x:v>
      </x:c>
      <x:c r="Y29" s="59" t="n">
        <x:v>0.0001841888083971039</x:v>
      </x:c>
      <x:c r="Z29" s="59" t="n">
        <x:v>0.00017424659043777847</x:v>
      </x:c>
      <x:c r="AA29" s="59" t="n">
        <x:v>0.00013077703650708942</x:v>
      </x:c>
    </x:row>
    <x:row r="30">
      <x:c r="A30" s="53" t="str">
        <x:v>BR</x:v>
      </x:c>
      <x:c r="B30" s="53" t="str">
        <x:v>BRA</x:v>
      </x:c>
      <x:c r="C30" s="53" t="str">
        <x:v>Brazil</x:v>
      </x:c>
      <x:c r="D30" s="53" t="str">
        <x:v>US</x:v>
      </x:c>
      <x:c r="E30" s="53" t="str">
        <x:v>USA</x:v>
      </x:c>
      <x:c r="F30" s="53" t="str">
        <x:v>United States</x:v>
      </x:c>
      <x:c r="G30" s="53" t="n">
        <x:v>2017</x:v>
      </x:c>
      <x:c r="H30" s="53" t="str">
        <x:v>Issuance</x:v>
      </x:c>
      <x:c r="I30" s="53" t="str">
        <x:v>EF+B</x:v>
      </x:c>
      <x:c r="J30" s="53" t="n">
        <x:v>2</x:v>
      </x:c>
      <x:c r="K30" s="53" t="n">
        <x:v>0</x:v>
      </x:c>
      <x:c r="L30" s="53" t="n">
        <x:v>0</x:v>
      </x:c>
      <x:c r="M30" s="54" t="n">
        <x:v>13851.852312190002</x:v>
      </x:c>
      <x:c r="N30" s="54" t="n">
        <x:v>14544.280478735953</x:v>
      </x:c>
      <x:c r="O30" s="54" t="n">
        <x:v>11027.485824946172</x:v>
      </x:c>
      <x:c r="P30" s="54" t="n">
        <x:v>3516.7946537897806</x:v>
      </x:c>
      <x:c r="Q30" s="55" t="b">
        <x:v>0</x:v>
      </x:c>
      <x:c r="R30" s="56" t="str">
        <x:v>none</x:v>
      </x:c>
      <x:c r="S30" s="57" t="str">
        <x:v>GCAP estimated restatement; Position_Residency may include GCAP interpolation/extrapolation per documentation</x:v>
      </x:c>
      <x:c r="T30" s="57" t="str">
        <x:v>diagonal set to zero + within-sample row normalization</x:v>
      </x:c>
      <x:c r="U30" s="57" t="str">
        <x:v>GCAP Restated Bilateral External Portfolios v1.8</x:v>
      </x:c>
      <x:c r="V30" s="57" t="str">
        <x:v>IMF CPIS</x:v>
      </x:c>
      <x:c r="W30" s="58" t="str">
        <x:v>https://globalcapitalallocation.s3.us-east-2.amazonaws.com/Restated_Bilateral_External_Portfolios_ReadMe.pdf</x:v>
      </x:c>
      <x:c r="X30" s="59" t="n">
        <x:v>0.48715646365716003</x:v>
      </x:c>
      <x:c r="Y30" s="59" t="n">
        <x:v>0.5444369132833294</x:v>
      </x:c>
      <x:c r="Z30" s="59" t="n">
        <x:v>0.5023141398642482</x:v>
      </x:c>
      <x:c r="AA30" s="59" t="n">
        <x:v>0.4450458583985031</x:v>
      </x:c>
    </x:row>
    <x:row r="31">
      <x:c r="A31" s="53" t="str">
        <x:v>BR</x:v>
      </x:c>
      <x:c r="B31" s="53" t="str">
        <x:v>BRA</x:v>
      </x:c>
      <x:c r="C31" s="53" t="str">
        <x:v>Brazil</x:v>
      </x:c>
      <x:c r="D31" s="53" t="str">
        <x:v>ZA</x:v>
      </x:c>
      <x:c r="E31" s="53" t="str">
        <x:v>ZAF</x:v>
      </x:c>
      <x:c r="F31" s="53" t="str">
        <x:v>South Africa</x:v>
      </x:c>
      <x:c r="G31" s="53" t="n">
        <x:v>2017</x:v>
      </x:c>
      <x:c r="H31" s="53" t="str">
        <x:v>Issuance</x:v>
      </x:c>
      <x:c r="I31" s="53" t="str">
        <x:v>EF+B</x:v>
      </x:c>
      <x:c r="J31" s="53" t="n">
        <x:v>2</x:v>
      </x:c>
      <x:c r="K31" s="53" t="n">
        <x:v>0</x:v>
      </x:c>
      <x:c r="L31" s="53" t="n">
        <x:v>0</x:v>
      </x:c>
      <x:c r="M31" s="54" t="n">
        <x:v>2.3666148299999996</x:v>
      </x:c>
      <x:c r="N31" s="54" t="n">
        <x:v>11.451756475435104</x:v>
      </x:c>
      <x:c r="O31" s="54" t="n">
        <x:v>6.887356227409327</x:v>
      </x:c>
      <x:c r="P31" s="54" t="n">
        <x:v>4.564400248025777</x:v>
      </x:c>
      <x:c r="Q31" s="55" t="b">
        <x:v>0</x:v>
      </x:c>
      <x:c r="R31" s="56" t="str">
        <x:v>none</x:v>
      </x:c>
      <x:c r="S31" s="57" t="str">
        <x:v>GCAP estimated restatement; Position_Residency may include GCAP interpolation/extrapolation per documentation</x:v>
      </x:c>
      <x:c r="T31" s="57" t="str">
        <x:v>diagonal set to zero + within-sample row normalization</x:v>
      </x:c>
      <x:c r="U31" s="57" t="str">
        <x:v>GCAP Restated Bilateral External Portfolios v1.8</x:v>
      </x:c>
      <x:c r="V31" s="57" t="str">
        <x:v>IMF CPIS</x:v>
      </x:c>
      <x:c r="W31" s="58" t="str">
        <x:v>https://globalcapitalallocation.s3.us-east-2.amazonaws.com/Restated_Bilateral_External_Portfolios_ReadMe.pdf</x:v>
      </x:c>
      <x:c r="X31" s="59" t="n">
        <x:v>0.00038357326753924115</x:v>
      </x:c>
      <x:c r="Y31" s="59" t="n">
        <x:v>0.00009301806313960342</x:v>
      </x:c>
      <x:c r="Z31" s="59" t="n">
        <x:v>0.0003137266711768072</x:v>
      </x:c>
      <x:c r="AA31" s="59" t="n">
        <x:v>0.0005776190043589616</x:v>
      </x:c>
    </x:row>
    <x:row r="32">
      <x:c r="A32" s="53" t="str">
        <x:v>CA</x:v>
      </x:c>
      <x:c r="B32" s="53" t="str">
        <x:v>CAN</x:v>
      </x:c>
      <x:c r="C32" s="53" t="str">
        <x:v>Canada</x:v>
      </x:c>
      <x:c r="D32" s="53" t="str">
        <x:v>AU</x:v>
      </x:c>
      <x:c r="E32" s="53" t="str">
        <x:v>AUS</x:v>
      </x:c>
      <x:c r="F32" s="53" t="str">
        <x:v>Australia</x:v>
      </x:c>
      <x:c r="G32" s="53" t="n">
        <x:v>2017</x:v>
      </x:c>
      <x:c r="H32" s="53" t="str">
        <x:v>Fund Holdings</x:v>
      </x:c>
      <x:c r="I32" s="53" t="str">
        <x:v>EF+B</x:v>
      </x:c>
      <x:c r="J32" s="53" t="n">
        <x:v>2</x:v>
      </x:c>
      <x:c r="K32" s="53" t="n">
        <x:v>0</x:v>
      </x:c>
      <x:c r="L32" s="53" t="n">
        <x:v>0</x:v>
      </x:c>
      <x:c r="M32" s="54" t="n">
        <x:v>26434.43603029093</x:v>
      </x:c>
      <x:c r="N32" s="54" t="n">
        <x:v>25650.4531012699</x:v>
      </x:c>
      <x:c r="O32" s="54" t="n">
        <x:v>17421.01049195975</x:v>
      </x:c>
      <x:c r="P32" s="54" t="n">
        <x:v>8229.44260931015</x:v>
      </x:c>
      <x:c r="Q32" s="55" t="b">
        <x:v>0</x:v>
      </x:c>
      <x:c r="R32" s="56" t="str">
        <x:v>none</x:v>
      </x:c>
      <x:c r="S32" s="57" t="str">
        <x:v>GCAP estimated restatement; Position_Residency may include GCAP interpolation/extrapolation per documentation</x:v>
      </x:c>
      <x:c r="T32" s="57" t="str">
        <x:v>diagonal set to zero + within-sample row normalization</x:v>
      </x:c>
      <x:c r="U32" s="57" t="str">
        <x:v>GCAP Restated Bilateral External Portfolios v1.8</x:v>
      </x:c>
      <x:c r="V32" s="57" t="str">
        <x:v>IMF CPIS</x:v>
      </x:c>
      <x:c r="W32" s="58" t="str">
        <x:v>https://globalcapitalallocation.s3.us-east-2.amazonaws.com/Restated_Bilateral_External_Portfolios_ReadMe.pdf</x:v>
      </x:c>
      <x:c r="X32" s="59" t="n">
        <x:v>0.01647671224760414</x:v>
      </x:c>
      <x:c r="Y32" s="59" t="n">
        <x:v>0.017375603734376768</x:v>
      </x:c>
      <x:c r="Z32" s="59" t="n">
        <x:v>0.014204579706322638</x:v>
      </x:c>
      <x:c r="AA32" s="59" t="n">
        <x:v>0.024912495962449793</x:v>
      </x:c>
    </x:row>
    <x:row r="33">
      <x:c r="A33" s="53" t="str">
        <x:v>CA</x:v>
      </x:c>
      <x:c r="B33" s="53" t="str">
        <x:v>CAN</x:v>
      </x:c>
      <x:c r="C33" s="53" t="str">
        <x:v>Canada</x:v>
      </x:c>
      <x:c r="D33" s="53" t="str">
        <x:v>BR</x:v>
      </x:c>
      <x:c r="E33" s="53" t="str">
        <x:v>BRA</x:v>
      </x:c>
      <x:c r="F33" s="53" t="str">
        <x:v>Brazil</x:v>
      </x:c>
      <x:c r="G33" s="53" t="n">
        <x:v>2017</x:v>
      </x:c>
      <x:c r="H33" s="53" t="str">
        <x:v>Fund Holdings</x:v>
      </x:c>
      <x:c r="I33" s="53" t="str">
        <x:v>EF+B</x:v>
      </x:c>
      <x:c r="J33" s="53" t="n">
        <x:v>2</x:v>
      </x:c>
      <x:c r="K33" s="53" t="n">
        <x:v>0</x:v>
      </x:c>
      <x:c r="L33" s="53" t="n">
        <x:v>0</x:v>
      </x:c>
      <x:c r="M33" s="54" t="n">
        <x:v>14620.964527700278</x:v>
      </x:c>
      <x:c r="N33" s="54" t="n">
        <x:v>15224.618080064654</x:v>
      </x:c>
      <x:c r="O33" s="54" t="n">
        <x:v>10497.028864845634</x:v>
      </x:c>
      <x:c r="P33" s="54" t="n">
        <x:v>4727.589215219021</x:v>
      </x:c>
      <x:c r="Q33" s="55" t="b">
        <x:v>0</x:v>
      </x:c>
      <x:c r="R33" s="56" t="str">
        <x:v>none</x:v>
      </x:c>
      <x:c r="S33" s="57" t="str">
        <x:v>GCAP estimated restatement; Position_Residency may include GCAP interpolation/extrapolation per documentation</x:v>
      </x:c>
      <x:c r="T33" s="57" t="str">
        <x:v>diagonal set to zero + within-sample row normalization</x:v>
      </x:c>
      <x:c r="U33" s="57" t="str">
        <x:v>GCAP Restated Bilateral External Portfolios v1.8</x:v>
      </x:c>
      <x:c r="V33" s="57" t="str">
        <x:v>IMF CPIS</x:v>
      </x:c>
      <x:c r="W33" s="58" t="str">
        <x:v>https://globalcapitalallocation.s3.us-east-2.amazonaws.com/Restated_Bilateral_External_Portfolios_ReadMe.pdf</x:v>
      </x:c>
      <x:c r="X33" s="59" t="n">
        <x:v>0.009779618714512205</x:v>
      </x:c>
      <x:c r="Y33" s="59" t="n">
        <x:v>0.009610497668896295</x:v>
      </x:c>
      <x:c r="Z33" s="59" t="n">
        <x:v>0.008558968680897441</x:v>
      </x:c>
      <x:c r="AA33" s="59" t="n">
        <x:v>0.014311546094631294</x:v>
      </x:c>
    </x:row>
    <x:row r="34">
      <x:c r="A34" s="53" t="str">
        <x:v>CA</x:v>
      </x:c>
      <x:c r="B34" s="53" t="str">
        <x:v>CAN</x:v>
      </x:c>
      <x:c r="C34" s="53" t="str">
        <x:v>Canada</x:v>
      </x:c>
      <x:c r="D34" s="53" t="str">
        <x:v>CA</x:v>
      </x:c>
      <x:c r="E34" s="53" t="str">
        <x:v>CAN</x:v>
      </x:c>
      <x:c r="F34" s="53" t="str">
        <x:v>Canada</x:v>
      </x:c>
      <x:c r="G34" s="53" t="n">
        <x:v>2017</x:v>
      </x:c>
      <x:c r="H34" s="53" t="str">
        <x:v>Fund Holdings</x:v>
      </x:c>
      <x:c r="I34" s="53" t="str">
        <x:v>EF+B</x:v>
      </x:c>
      <x:c r="J34" s="53" t="n">
        <x:v>2</x:v>
      </x:c>
      <x:c r="K34" s="53" t="n">
        <x:v>0</x:v>
      </x:c>
      <x:c r="L34" s="53" t="n">
        <x:v>0</x:v>
      </x:c>
      <x:c r="M34" s="54" t="n">
        <x:v>2072280.25</x:v>
      </x:c>
      <x:c r="N34" s="54" t="n">
        <x:v>2085058.0957628414</x:v>
      </x:c>
      <x:c r="O34" s="54" t="n">
        <x:v>1019307.962309204</x:v>
      </x:c>
      <x:c r="P34" s="54" t="n">
        <x:v>1065750.1334536374</x:v>
      </x:c>
      <x:c r="Q34" s="55" t="b">
        <x:v>1</x:v>
      </x:c>
      <x:c r="R34" s="56" t="str">
        <x:v>none</x:v>
      </x:c>
      <x:c r="S34" s="57" t="str">
        <x:v>GCAP estimated restatement; Position_Residency may include GCAP interpolation/extrapolation per documentation</x:v>
      </x:c>
      <x:c r="T34" s="57" t="str">
        <x:v>EA issuer aggregation + diagonal set to zero + within-sample row normalization</x:v>
      </x:c>
      <x:c r="U34" s="57" t="str">
        <x:v>GCAP Restated Bilateral External Portfolios v1.8</x:v>
      </x:c>
      <x:c r="V34" s="57" t="str">
        <x:v>IMF CPIS</x:v>
      </x:c>
      <x:c r="W34" s="58" t="str">
        <x:v>https://globalcapitalallocation.s3.us-east-2.amazonaws.com/Restated_Bilateral_External_Portfolios_ReadMe.pdf</x:v>
      </x:c>
      <x:c r="X34" s="59" t="n">
        <x:v>0</x:v>
      </x:c>
      <x:c r="Y34" s="59" t="n">
        <x:v>0</x:v>
      </x:c>
      <x:c r="Z34" s="59" t="n">
        <x:v>0</x:v>
      </x:c>
      <x:c r="AA34" s="59" t="n">
        <x:v>0</x:v>
      </x:c>
    </x:row>
    <x:row r="35">
      <x:c r="A35" s="53" t="str">
        <x:v>CA</x:v>
      </x:c>
      <x:c r="B35" s="53" t="str">
        <x:v>CAN</x:v>
      </x:c>
      <x:c r="C35" s="53" t="str">
        <x:v>Canada</x:v>
      </x:c>
      <x:c r="D35" s="53" t="str">
        <x:v>CH</x:v>
      </x:c>
      <x:c r="E35" s="53" t="str">
        <x:v>CHE</x:v>
      </x:c>
      <x:c r="F35" s="53" t="str">
        <x:v>Switzerland</x:v>
      </x:c>
      <x:c r="G35" s="53" t="n">
        <x:v>2017</x:v>
      </x:c>
      <x:c r="H35" s="53" t="str">
        <x:v>Fund Holdings</x:v>
      </x:c>
      <x:c r="I35" s="53" t="str">
        <x:v>EF+B</x:v>
      </x:c>
      <x:c r="J35" s="53" t="n">
        <x:v>2</x:v>
      </x:c>
      <x:c r="K35" s="53" t="n">
        <x:v>0</x:v>
      </x:c>
      <x:c r="L35" s="53" t="n">
        <x:v>0</x:v>
      </x:c>
      <x:c r="M35" s="54" t="n">
        <x:v>31691.51056197693</x:v>
      </x:c>
      <x:c r="N35" s="54" t="n">
        <x:v>31179.782980442047</x:v>
      </x:c>
      <x:c r="O35" s="54" t="n">
        <x:v>26602.636260807514</x:v>
      </x:c>
      <x:c r="P35" s="54" t="n">
        <x:v>4577.146719634533</x:v>
      </x:c>
      <x:c r="Q35" s="55" t="b">
        <x:v>0</x:v>
      </x:c>
      <x:c r="R35" s="56" t="str">
        <x:v>none</x:v>
      </x:c>
      <x:c r="S35" s="57" t="str">
        <x:v>GCAP estimated restatement; Position_Residency may include GCAP interpolation/extrapolation per documentation</x:v>
      </x:c>
      <x:c r="T35" s="57" t="str">
        <x:v>diagonal set to zero + within-sample row normalization</x:v>
      </x:c>
      <x:c r="U35" s="57" t="str">
        <x:v>GCAP Restated Bilateral External Portfolios v1.8</x:v>
      </x:c>
      <x:c r="V35" s="57" t="str">
        <x:v>IMF CPIS</x:v>
      </x:c>
      <x:c r="W35" s="58" t="str">
        <x:v>https://globalcapitalallocation.s3.us-east-2.amazonaws.com/Restated_Bilateral_External_Portfolios_ReadMe.pdf</x:v>
      </x:c>
      <x:c r="X35" s="59" t="n">
        <x:v>0.02002850827169421</x:v>
      </x:c>
      <x:c r="Y35" s="59" t="n">
        <x:v>0.02083112832964293</x:v>
      </x:c>
      <x:c r="Z35" s="59" t="n">
        <x:v>0.02169100738096394</x:v>
      </x:c>
      <x:c r="AA35" s="59" t="n">
        <x:v>0.013856120588705856</x:v>
      </x:c>
    </x:row>
    <x:row r="36">
      <x:c r="A36" s="53" t="str">
        <x:v>CA</x:v>
      </x:c>
      <x:c r="B36" s="53" t="str">
        <x:v>CAN</x:v>
      </x:c>
      <x:c r="C36" s="53" t="str">
        <x:v>Canada</x:v>
      </x:c>
      <x:c r="D36" s="53" t="str">
        <x:v>CN</x:v>
      </x:c>
      <x:c r="E36" s="53" t="str">
        <x:v>CHN</x:v>
      </x:c>
      <x:c r="F36" s="53" t="str">
        <x:v>China</x:v>
      </x:c>
      <x:c r="G36" s="53" t="n">
        <x:v>2017</x:v>
      </x:c>
      <x:c r="H36" s="53" t="str">
        <x:v>Fund Holdings</x:v>
      </x:c>
      <x:c r="I36" s="53" t="str">
        <x:v>EF+B</x:v>
      </x:c>
      <x:c r="J36" s="53" t="n">
        <x:v>2</x:v>
      </x:c>
      <x:c r="K36" s="53" t="n">
        <x:v>0</x:v>
      </x:c>
      <x:c r="L36" s="53" t="n">
        <x:v>0</x:v>
      </x:c>
      <x:c r="M36" s="54" t="n">
        <x:v>35063.37186129937</x:v>
      </x:c>
      <x:c r="N36" s="54" t="n">
        <x:v>62619.210266079055</x:v>
      </x:c>
      <x:c r="O36" s="54" t="n">
        <x:v>59930.798148120986</x:v>
      </x:c>
      <x:c r="P36" s="54" t="n">
        <x:v>2688.412117958069</x:v>
      </x:c>
      <x:c r="Q36" s="55" t="b">
        <x:v>0</x:v>
      </x:c>
      <x:c r="R36" s="56" t="str">
        <x:v>none</x:v>
      </x:c>
      <x:c r="S36" s="57" t="str">
        <x:v>GCAP estimated restatement; Position_Residency may include GCAP interpolation/extrapolation per documentation</x:v>
      </x:c>
      <x:c r="T36" s="57" t="str">
        <x:v>diagonal set to zero + within-sample row normalization</x:v>
      </x:c>
      <x:c r="U36" s="57" t="str">
        <x:v>GCAP Restated Bilateral External Portfolios v1.8</x:v>
      </x:c>
      <x:c r="V36" s="57" t="str">
        <x:v>IMF CPIS</x:v>
      </x:c>
      <x:c r="W36" s="58" t="str">
        <x:v>https://globalcapitalallocation.s3.us-east-2.amazonaws.com/Restated_Bilateral_External_Portfolios_ReadMe.pdf</x:v>
      </x:c>
      <x:c r="X36" s="59" t="n">
        <x:v>0.04022380051739996</x:v>
      </x:c>
      <x:c r="Y36" s="59" t="n">
        <x:v>0.023047484514324604</x:v>
      </x:c>
      <x:c r="Z36" s="59" t="n">
        <x:v>0.048865810599873695</x:v>
      </x:c>
      <x:c r="AA36" s="59" t="n">
        <x:v>0.00813846808509985</x:v>
      </x:c>
    </x:row>
    <x:row r="37">
      <x:c r="A37" s="53" t="str">
        <x:v>CA</x:v>
      </x:c>
      <x:c r="B37" s="53" t="str">
        <x:v>CAN</x:v>
      </x:c>
      <x:c r="C37" s="53" t="str">
        <x:v>Canada</x:v>
      </x:c>
      <x:c r="D37" s="53" t="str">
        <x:v>EA</x:v>
      </x:c>
      <x:c r="E37" s="53" t="str">
        <x:v>EMU</x:v>
      </x:c>
      <x:c r="F37" s="53" t="str">
        <x:v>European Monetary Union</x:v>
      </x:c>
      <x:c r="G37" s="53" t="n">
        <x:v>2017</x:v>
      </x:c>
      <x:c r="H37" s="53" t="str">
        <x:v>Fund Holdings</x:v>
      </x:c>
      <x:c r="I37" s="53" t="str">
        <x:v>EF+B</x:v>
      </x:c>
      <x:c r="J37" s="53" t="n">
        <x:v>38</x:v>
      </x:c>
      <x:c r="K37" s="53" t="n">
        <x:v>0</x:v>
      </x:c>
      <x:c r="L37" s="53" t="n">
        <x:v>0</x:v>
      </x:c>
      <x:c r="M37" s="54" t="n">
        <x:v>174762.8537265844</x:v>
      </x:c>
      <x:c r="N37" s="54" t="n">
        <x:v>182012.71676089626</x:v>
      </x:c>
      <x:c r="O37" s="54" t="n">
        <x:v>144372.71262417745</x:v>
      </x:c>
      <x:c r="P37" s="54" t="n">
        <x:v>37640.00413671881</x:v>
      </x:c>
      <x:c r="Q37" s="55" t="b">
        <x:v>0</x:v>
      </x:c>
      <x:c r="R37" s="56" t="str">
        <x:v>none</x:v>
      </x:c>
      <x:c r="S37" s="57" t="str">
        <x:v>GCAP estimated restatement; Position_Residency may include GCAP interpolation/extrapolation per documentation</x:v>
      </x:c>
      <x:c r="T37" s="57" t="str">
        <x:v>EA issuer aggregation + diagonal set to zero + within-sample row normalization</x:v>
      </x:c>
      <x:c r="U37" s="57" t="str">
        <x:v>GCAP Restated Bilateral External Portfolios v1.8</x:v>
      </x:c>
      <x:c r="V37" s="57" t="str">
        <x:v>IMF CPIS</x:v>
      </x:c>
      <x:c r="W37" s="58" t="str">
        <x:v>https://globalcapitalallocation.s3.us-east-2.amazonaws.com/Restated_Bilateral_External_Portfolios_ReadMe.pdf</x:v>
      </x:c>
      <x:c r="X37" s="59" t="n">
        <x:v>0.11691688827615641</x:v>
      </x:c>
      <x:c r="Y37" s="59" t="n">
        <x:v>0.11487326948690574</x:v>
      </x:c>
      <x:c r="Z37" s="59" t="n">
        <x:v>0.11771726472667113</x:v>
      </x:c>
      <x:c r="AA37" s="59" t="n">
        <x:v>0.11394531751418412</x:v>
      </x:c>
    </x:row>
    <x:row r="38">
      <x:c r="A38" s="53" t="str">
        <x:v>CA</x:v>
      </x:c>
      <x:c r="B38" s="53" t="str">
        <x:v>CAN</x:v>
      </x:c>
      <x:c r="C38" s="53" t="str">
        <x:v>Canada</x:v>
      </x:c>
      <x:c r="D38" s="53" t="str">
        <x:v>UK</x:v>
      </x:c>
      <x:c r="E38" s="53" t="str">
        <x:v>GBR</x:v>
      </x:c>
      <x:c r="F38" s="53" t="str">
        <x:v>United Kingdom</x:v>
      </x:c>
      <x:c r="G38" s="53" t="n">
        <x:v>2017</x:v>
      </x:c>
      <x:c r="H38" s="53" t="str">
        <x:v>Fund Holdings</x:v>
      </x:c>
      <x:c r="I38" s="53" t="str">
        <x:v>EF+B</x:v>
      </x:c>
      <x:c r="J38" s="53" t="n">
        <x:v>2</x:v>
      </x:c>
      <x:c r="K38" s="53" t="n">
        <x:v>0</x:v>
      </x:c>
      <x:c r="L38" s="53" t="n">
        <x:v>0</x:v>
      </x:c>
      <x:c r="M38" s="54" t="n">
        <x:v>97473.09685133521</x:v>
      </x:c>
      <x:c r="N38" s="54" t="n">
        <x:v>95950.3385394821</x:v>
      </x:c>
      <x:c r="O38" s="54" t="n">
        <x:v>78061.88334423397</x:v>
      </x:c>
      <x:c r="P38" s="54" t="n">
        <x:v>17888.455195248127</x:v>
      </x:c>
      <x:c r="Q38" s="55" t="b">
        <x:v>0</x:v>
      </x:c>
      <x:c r="R38" s="56" t="str">
        <x:v>none</x:v>
      </x:c>
      <x:c r="S38" s="57" t="str">
        <x:v>GCAP estimated restatement; Position_Residency may include GCAP interpolation/extrapolation per documentation</x:v>
      </x:c>
      <x:c r="T38" s="57" t="str">
        <x:v>diagonal set to zero + within-sample row normalization</x:v>
      </x:c>
      <x:c r="U38" s="57" t="str">
        <x:v>GCAP Restated Bilateral External Portfolios v1.8</x:v>
      </x:c>
      <x:c r="V38" s="57" t="str">
        <x:v>IMF CPIS</x:v>
      </x:c>
      <x:c r="W38" s="58" t="str">
        <x:v>https://globalcapitalallocation.s3.us-east-2.amazonaws.com/Restated_Bilateral_External_Portfolios_ReadMe.pdf</x:v>
      </x:c>
      <x:c r="X38" s="59" t="n">
        <x:v>0.06163423749021334</x:v>
      </x:c>
      <x:c r="Y38" s="59" t="n">
        <x:v>0.06406998445930864</x:v>
      </x:c>
      <x:c r="Z38" s="59" t="n">
        <x:v>0.06364936434086804</x:v>
      </x:c>
      <x:c r="AA38" s="59" t="n">
        <x:v>0.05415264301398904</x:v>
      </x:c>
    </x:row>
    <x:row r="39">
      <x:c r="A39" s="53" t="str">
        <x:v>CA</x:v>
      </x:c>
      <x:c r="B39" s="53" t="str">
        <x:v>CAN</x:v>
      </x:c>
      <x:c r="C39" s="53" t="str">
        <x:v>Canada</x:v>
      </x:c>
      <x:c r="D39" s="53" t="str">
        <x:v>JP</x:v>
      </x:c>
      <x:c r="E39" s="53" t="str">
        <x:v>JPN</x:v>
      </x:c>
      <x:c r="F39" s="53" t="str">
        <x:v>Japan</x:v>
      </x:c>
      <x:c r="G39" s="53" t="n">
        <x:v>2017</x:v>
      </x:c>
      <x:c r="H39" s="53" t="str">
        <x:v>Fund Holdings</x:v>
      </x:c>
      <x:c r="I39" s="53" t="str">
        <x:v>EF+B</x:v>
      </x:c>
      <x:c r="J39" s="53" t="n">
        <x:v>2</x:v>
      </x:c>
      <x:c r="K39" s="53" t="n">
        <x:v>0</x:v>
      </x:c>
      <x:c r="L39" s="53" t="n">
        <x:v>0</x:v>
      </x:c>
      <x:c r="M39" s="54" t="n">
        <x:v>70888.0031885213</x:v>
      </x:c>
      <x:c r="N39" s="54" t="n">
        <x:v>75019.97227746993</x:v>
      </x:c>
      <x:c r="O39" s="54" t="n">
        <x:v>63426.8023077324</x:v>
      </x:c>
      <x:c r="P39" s="54" t="n">
        <x:v>11593.16996973753</x:v>
      </x:c>
      <x:c r="Q39" s="55" t="b">
        <x:v>0</x:v>
      </x:c>
      <x:c r="R39" s="56" t="str">
        <x:v>none</x:v>
      </x:c>
      <x:c r="S39" s="57" t="str">
        <x:v>GCAP estimated restatement; Position_Residency may include GCAP interpolation/extrapolation per documentation</x:v>
      </x:c>
      <x:c r="T39" s="57" t="str">
        <x:v>diagonal set to zero + within-sample row normalization</x:v>
      </x:c>
      <x:c r="U39" s="57" t="str">
        <x:v>GCAP Restated Bilateral External Portfolios v1.8</x:v>
      </x:c>
      <x:c r="V39" s="57" t="str">
        <x:v>IMF CPIS</x:v>
      </x:c>
      <x:c r="W39" s="58" t="str">
        <x:v>https://globalcapitalallocation.s3.us-east-2.amazonaws.com/Restated_Bilateral_External_Portfolios_ReadMe.pdf</x:v>
      </x:c>
      <x:c r="X39" s="59" t="n">
        <x:v>0.04818949946649933</x:v>
      </x:c>
      <x:c r="Y39" s="59" t="n">
        <x:v>0.04659535204433967</x:v>
      </x:c>
      <x:c r="Z39" s="59" t="n">
        <x:v>0.0517163495948278</x:v>
      </x:c>
      <x:c r="AA39" s="59" t="n">
        <x:v>0.03509530520771089</x:v>
      </x:c>
    </x:row>
    <x:row r="40">
      <x:c r="A40" s="53" t="str">
        <x:v>CA</x:v>
      </x:c>
      <x:c r="B40" s="53" t="str">
        <x:v>CAN</x:v>
      </x:c>
      <x:c r="C40" s="53" t="str">
        <x:v>Canada</x:v>
      </x:c>
      <x:c r="D40" s="53" t="str">
        <x:v>KR</x:v>
      </x:c>
      <x:c r="E40" s="53" t="str">
        <x:v>KOR</x:v>
      </x:c>
      <x:c r="F40" s="53" t="str">
        <x:v>Korea, Republic of</x:v>
      </x:c>
      <x:c r="G40" s="53" t="n">
        <x:v>2017</x:v>
      </x:c>
      <x:c r="H40" s="53" t="str">
        <x:v>Fund Holdings</x:v>
      </x:c>
      <x:c r="I40" s="53" t="str">
        <x:v>EF+B</x:v>
      </x:c>
      <x:c r="J40" s="53" t="n">
        <x:v>2</x:v>
      </x:c>
      <x:c r="K40" s="53" t="n">
        <x:v>0</x:v>
      </x:c>
      <x:c r="L40" s="53" t="n">
        <x:v>0</x:v>
      </x:c>
      <x:c r="M40" s="54" t="n">
        <x:v>22352.331606217653</x:v>
      </x:c>
      <x:c r="N40" s="54" t="n">
        <x:v>22258.653424590826</x:v>
      </x:c>
      <x:c r="O40" s="54" t="n">
        <x:v>21392.448514312506</x:v>
      </x:c>
      <x:c r="P40" s="54" t="n">
        <x:v>866.2049102783203</x:v>
      </x:c>
      <x:c r="Q40" s="55" t="b">
        <x:v>0</x:v>
      </x:c>
      <x:c r="R40" s="56" t="str">
        <x:v>none</x:v>
      </x:c>
      <x:c r="S40" s="57" t="str">
        <x:v>GCAP estimated restatement; Position_Residency may include GCAP interpolation/extrapolation per documentation</x:v>
      </x:c>
      <x:c r="T40" s="57" t="str">
        <x:v>diagonal set to zero + within-sample row normalization</x:v>
      </x:c>
      <x:c r="U40" s="57" t="str">
        <x:v>GCAP Restated Bilateral External Portfolios v1.8</x:v>
      </x:c>
      <x:c r="V40" s="57" t="str">
        <x:v>IMF CPIS</x:v>
      </x:c>
      <x:c r="W40" s="58" t="str">
        <x:v>https://globalcapitalallocation.s3.us-east-2.amazonaws.com/Restated_Bilateral_External_Portfolios_ReadMe.pdf</x:v>
      </x:c>
      <x:c r="X40" s="59" t="n">
        <x:v>0.014297970723876785</x:v>
      </x:c>
      <x:c r="Y40" s="59" t="n">
        <x:v>0.014692398055474945</x:v>
      </x:c>
      <x:c r="Z40" s="59" t="n">
        <x:v>0.017442773493259737</x:v>
      </x:c>
      <x:c r="AA40" s="59" t="n">
        <x:v>0.00262220995448096</x:v>
      </x:c>
    </x:row>
    <x:row r="41">
      <x:c r="A41" s="53" t="str">
        <x:v>CA</x:v>
      </x:c>
      <x:c r="B41" s="53" t="str">
        <x:v>CAN</x:v>
      </x:c>
      <x:c r="C41" s="53" t="str">
        <x:v>Canada</x:v>
      </x:c>
      <x:c r="D41" s="53" t="str">
        <x:v>NO</x:v>
      </x:c>
      <x:c r="E41" s="53" t="str">
        <x:v>NOR</x:v>
      </x:c>
      <x:c r="F41" s="53" t="str">
        <x:v>Norway</x:v>
      </x:c>
      <x:c r="G41" s="53" t="n">
        <x:v>2017</x:v>
      </x:c>
      <x:c r="H41" s="53" t="str">
        <x:v>Fund Holdings</x:v>
      </x:c>
      <x:c r="I41" s="53" t="str">
        <x:v>EF+B</x:v>
      </x:c>
      <x:c r="J41" s="53" t="n">
        <x:v>2</x:v>
      </x:c>
      <x:c r="K41" s="53" t="n">
        <x:v>0</x:v>
      </x:c>
      <x:c r="L41" s="53" t="n">
        <x:v>0</x:v>
      </x:c>
      <x:c r="M41" s="54" t="n">
        <x:v>6296.532483060981</x:v>
      </x:c>
      <x:c r="N41" s="54" t="n">
        <x:v>6248.547966279089</x:v>
      </x:c>
      <x:c r="O41" s="54" t="n">
        <x:v>3929.285511292517</x:v>
      </x:c>
      <x:c r="P41" s="54" t="n">
        <x:v>2319.2624549865723</x:v>
      </x:c>
      <x:c r="Q41" s="55" t="b">
        <x:v>0</x:v>
      </x:c>
      <x:c r="R41" s="56" t="str">
        <x:v>none</x:v>
      </x:c>
      <x:c r="S41" s="57" t="str">
        <x:v>GCAP estimated restatement; Position_Residency may include GCAP interpolation/extrapolation per documentation</x:v>
      </x:c>
      <x:c r="T41" s="57" t="str">
        <x:v>diagonal set to zero + within-sample row normalization</x:v>
      </x:c>
      <x:c r="U41" s="57" t="str">
        <x:v>GCAP Restated Bilateral External Portfolios v1.8</x:v>
      </x:c>
      <x:c r="V41" s="57" t="str">
        <x:v>IMF CPIS</x:v>
      </x:c>
      <x:c r="W41" s="58" t="str">
        <x:v>https://globalcapitalallocation.s3.us-east-2.amazonaws.com/Restated_Bilateral_External_Portfolios_ReadMe.pdf</x:v>
      </x:c>
      <x:c r="X41" s="59" t="n">
        <x:v>0.004013789791519726</x:v>
      </x:c>
      <x:c r="Y41" s="59" t="n">
        <x:v>0.004138770095224721</x:v>
      </x:c>
      <x:c r="Z41" s="59" t="n">
        <x:v>0.003203823868874472</x:v>
      </x:c>
      <x:c r="AA41" s="59" t="n">
        <x:v>0.007020963543794345</x:v>
      </x:c>
    </x:row>
    <x:row r="42">
      <x:c r="A42" s="53" t="str">
        <x:v>CA</x:v>
      </x:c>
      <x:c r="B42" s="53" t="str">
        <x:v>CAN</x:v>
      </x:c>
      <x:c r="C42" s="53" t="str">
        <x:v>Canada</x:v>
      </x:c>
      <x:c r="D42" s="53" t="str">
        <x:v>SG</x:v>
      </x:c>
      <x:c r="E42" s="53" t="str">
        <x:v>SGP</x:v>
      </x:c>
      <x:c r="F42" s="53" t="str">
        <x:v>Singapore</x:v>
      </x:c>
      <x:c r="G42" s="53" t="n">
        <x:v>2017</x:v>
      </x:c>
      <x:c r="H42" s="53" t="str">
        <x:v>Fund Holdings</x:v>
      </x:c>
      <x:c r="I42" s="53" t="str">
        <x:v>EF+B</x:v>
      </x:c>
      <x:c r="J42" s="53" t="n">
        <x:v>2</x:v>
      </x:c>
      <x:c r="K42" s="53" t="n">
        <x:v>0</x:v>
      </x:c>
      <x:c r="L42" s="53" t="n">
        <x:v>0</x:v>
      </x:c>
      <x:c r="M42" s="54" t="n">
        <x:v>6051.813471502594</x:v>
      </x:c>
      <x:c r="N42" s="54" t="n">
        <x:v>3859.604548931122</x:v>
      </x:c>
      <x:c r="O42" s="54" t="n">
        <x:v>3292.538447856903</x:v>
      </x:c>
      <x:c r="P42" s="54" t="n">
        <x:v>567.0661010742188</x:v>
      </x:c>
      <x:c r="Q42" s="55" t="b">
        <x:v>0</x:v>
      </x:c>
      <x:c r="R42" s="56" t="str">
        <x:v>none</x:v>
      </x:c>
      <x:c r="S42" s="57" t="str">
        <x:v>GCAP estimated restatement; Position_Residency may include GCAP interpolation/extrapolation per documentation</x:v>
      </x:c>
      <x:c r="T42" s="57" t="str">
        <x:v>diagonal set to zero + within-sample row normalization</x:v>
      </x:c>
      <x:c r="U42" s="57" t="str">
        <x:v>GCAP Restated Bilateral External Portfolios v1.8</x:v>
      </x:c>
      <x:c r="V42" s="57" t="str">
        <x:v>IMF CPIS</x:v>
      </x:c>
      <x:c r="W42" s="58" t="str">
        <x:v>https://globalcapitalallocation.s3.us-east-2.amazonaws.com/Restated_Bilateral_External_Portfolios_ReadMe.pdf</x:v>
      </x:c>
      <x:c r="X42" s="59" t="n">
        <x:v>0.0024792386041373156</x:v>
      </x:c>
      <x:c r="Y42" s="59" t="n">
        <x:v>0.0039779139844215855</x:v>
      </x:c>
      <x:c r="Z42" s="59" t="n">
        <x:v>0.0026846390363119504</x:v>
      </x:c>
      <x:c r="AA42" s="59" t="n">
        <x:v>0.0017166450541220616</x:v>
      </x:c>
    </x:row>
    <x:row r="43">
      <x:c r="A43" s="53" t="str">
        <x:v>CA</x:v>
      </x:c>
      <x:c r="B43" s="53" t="str">
        <x:v>CAN</x:v>
      </x:c>
      <x:c r="C43" s="53" t="str">
        <x:v>Canada</x:v>
      </x:c>
      <x:c r="D43" s="53" t="str">
        <x:v>TR</x:v>
      </x:c>
      <x:c r="E43" s="53" t="str">
        <x:v>TUR</x:v>
      </x:c>
      <x:c r="F43" s="53" t="str">
        <x:v>Turkey</x:v>
      </x:c>
      <x:c r="G43" s="53" t="n">
        <x:v>2017</x:v>
      </x:c>
      <x:c r="H43" s="53" t="str">
        <x:v>Fund Holdings</x:v>
      </x:c>
      <x:c r="I43" s="53" t="str">
        <x:v>EF+B</x:v>
      </x:c>
      <x:c r="J43" s="53" t="n">
        <x:v>2</x:v>
      </x:c>
      <x:c r="K43" s="53" t="n">
        <x:v>0</x:v>
      </x:c>
      <x:c r="L43" s="53" t="n">
        <x:v>0</x:v>
      </x:c>
      <x:c r="M43" s="54" t="n">
        <x:v>3082.50298923874</x:v>
      </x:c>
      <x:c r="N43" s="54" t="n">
        <x:v>3036.26708984375</x:v>
      </x:c>
      <x:c r="O43" s="54" t="n">
        <x:v>1834.7847900390625</x:v>
      </x:c>
      <x:c r="P43" s="54" t="n">
        <x:v>1201.4822998046875</x:v>
      </x:c>
      <x:c r="Q43" s="55" t="b">
        <x:v>0</x:v>
      </x:c>
      <x:c r="R43" s="56" t="str">
        <x:v>none</x:v>
      </x:c>
      <x:c r="S43" s="57" t="str">
        <x:v>GCAP estimated restatement; Position_Residency may include GCAP interpolation/extrapolation per documentation</x:v>
      </x:c>
      <x:c r="T43" s="57" t="str">
        <x:v>diagonal set to zero + within-sample row normalization</x:v>
      </x:c>
      <x:c r="U43" s="57" t="str">
        <x:v>GCAP Restated Bilateral External Portfolios v1.8</x:v>
      </x:c>
      <x:c r="V43" s="57" t="str">
        <x:v>IMF CPIS</x:v>
      </x:c>
      <x:c r="W43" s="58" t="str">
        <x:v>https://globalcapitalallocation.s3.us-east-2.amazonaws.com/Restated_Bilateral_External_Portfolios_ReadMe.pdf</x:v>
      </x:c>
      <x:c r="X43" s="59" t="n">
        <x:v>0.0019503631748224023</x:v>
      </x:c>
      <x:c r="Y43" s="59" t="n">
        <x:v>0.002026158242591973</x:v>
      </x:c>
      <x:c r="Z43" s="59" t="n">
        <x:v>0.0014960295676353997</x:v>
      </x:c>
      <x:c r="AA43" s="59" t="n">
        <x:v>0.0036371750024693683</x:v>
      </x:c>
    </x:row>
    <x:row r="44">
      <x:c r="A44" s="53" t="str">
        <x:v>CA</x:v>
      </x:c>
      <x:c r="B44" s="53" t="str">
        <x:v>CAN</x:v>
      </x:c>
      <x:c r="C44" s="53" t="str">
        <x:v>Canada</x:v>
      </x:c>
      <x:c r="D44" s="53" t="str">
        <x:v>US</x:v>
      </x:c>
      <x:c r="E44" s="53" t="str">
        <x:v>USA</x:v>
      </x:c>
      <x:c r="F44" s="53" t="str">
        <x:v>United States</x:v>
      </x:c>
      <x:c r="G44" s="53" t="n">
        <x:v>2017</x:v>
      </x:c>
      <x:c r="H44" s="53" t="str">
        <x:v>Fund Holdings</x:v>
      </x:c>
      <x:c r="I44" s="53" t="str">
        <x:v>EF+B</x:v>
      </x:c>
      <x:c r="J44" s="53" t="n">
        <x:v>2</x:v>
      </x:c>
      <x:c r="K44" s="53" t="n">
        <x:v>0</x:v>
      </x:c>
      <x:c r="L44" s="53" t="n">
        <x:v>0</x:v>
      </x:c>
      <x:c r="M44" s="54" t="n">
        <x:v>1024952.5707453169</x:v>
      </x:c>
      <x:c r="N44" s="54" t="n">
        <x:v>1026033.3208174384</x:v>
      </x:c>
      <x:c r="O44" s="54" t="n">
        <x:v>789337.4042757726</x:v>
      </x:c>
      <x:c r="P44" s="54" t="n">
        <x:v>236695.9165416658</x:v>
      </x:c>
      <x:c r="Q44" s="55" t="b">
        <x:v>0</x:v>
      </x:c>
      <x:c r="R44" s="56" t="str">
        <x:v>none</x:v>
      </x:c>
      <x:c r="S44" s="57" t="str">
        <x:v>GCAP estimated restatement; Position_Residency may include GCAP interpolation/extrapolation per documentation</x:v>
      </x:c>
      <x:c r="T44" s="57" t="str">
        <x:v>diagonal set to zero + within-sample row normalization</x:v>
      </x:c>
      <x:c r="U44" s="57" t="str">
        <x:v>GCAP Restated Bilateral External Portfolios v1.8</x:v>
      </x:c>
      <x:c r="V44" s="57" t="str">
        <x:v>IMF CPIS</x:v>
      </x:c>
      <x:c r="W44" s="58" t="str">
        <x:v>https://globalcapitalallocation.s3.us-east-2.amazonaws.com/Restated_Bilateral_External_Portfolios_ReadMe.pdf</x:v>
      </x:c>
      <x:c r="X44" s="59" t="n">
        <x:v>0.6590782516323531</x:v>
      </x:c>
      <x:c r="Y44" s="59" t="n">
        <x:v>0.673710976674292</x:v>
      </x:c>
      <x:c r="Z44" s="59" t="n">
        <x:v>0.6436025097046898</x:v>
      </x:c>
      <x:c r="AA44" s="59" t="n">
        <x:v>0.7165352922567989</x:v>
      </x:c>
    </x:row>
    <x:row r="45">
      <x:c r="A45" s="53" t="str">
        <x:v>CA</x:v>
      </x:c>
      <x:c r="B45" s="53" t="str">
        <x:v>CAN</x:v>
      </x:c>
      <x:c r="C45" s="53" t="str">
        <x:v>Canada</x:v>
      </x:c>
      <x:c r="D45" s="53" t="str">
        <x:v>ZA</x:v>
      </x:c>
      <x:c r="E45" s="53" t="str">
        <x:v>ZAF</x:v>
      </x:c>
      <x:c r="F45" s="53" t="str">
        <x:v>South Africa</x:v>
      </x:c>
      <x:c r="G45" s="53" t="n">
        <x:v>2017</x:v>
      </x:c>
      <x:c r="H45" s="53" t="str">
        <x:v>Fund Holdings</x:v>
      </x:c>
      <x:c r="I45" s="53" t="str">
        <x:v>EF+B</x:v>
      </x:c>
      <x:c r="J45" s="53" t="n">
        <x:v>2</x:v>
      </x:c>
      <x:c r="K45" s="53" t="n">
        <x:v>0</x:v>
      </x:c>
      <x:c r="L45" s="53" t="n">
        <x:v>0</x:v>
      </x:c>
      <x:c r="M45" s="54" t="n">
        <x:v>7683.5392586688</x:v>
      </x:c>
      <x:c r="N45" s="54" t="n">
        <x:v>7676.621909439564</x:v>
      </x:c>
      <x:c r="O45" s="54" t="n">
        <x:v>6336.847716450691</x:v>
      </x:c>
      <x:c r="P45" s="54" t="n">
        <x:v>1339.7741929888725</x:v>
      </x:c>
      <x:c r="Q45" s="55" t="b">
        <x:v>0</x:v>
      </x:c>
      <x:c r="R45" s="56" t="str">
        <x:v>none</x:v>
      </x:c>
      <x:c r="S45" s="57" t="str">
        <x:v>GCAP estimated restatement; Position_Residency may include GCAP interpolation/extrapolation per documentation</x:v>
      </x:c>
      <x:c r="T45" s="57" t="str">
        <x:v>diagonal set to zero + within-sample row normalization</x:v>
      </x:c>
      <x:c r="U45" s="57" t="str">
        <x:v>GCAP Restated Bilateral External Portfolios v1.8</x:v>
      </x:c>
      <x:c r="V45" s="57" t="str">
        <x:v>IMF CPIS</x:v>
      </x:c>
      <x:c r="W45" s="58" t="str">
        <x:v>https://globalcapitalallocation.s3.us-east-2.amazonaws.com/Restated_Bilateral_External_Portfolios_ReadMe.pdf</x:v>
      </x:c>
      <x:c r="X45" s="59" t="n">
        <x:v>0.004931121089210978</x:v>
      </x:c>
      <x:c r="Y45" s="59" t="n">
        <x:v>0.005050462710200168</x:v>
      </x:c>
      <x:c r="Z45" s="59" t="n">
        <x:v>0.005166879298803904</x:v>
      </x:c>
      <x:c r="AA45" s="59" t="n">
        <x:v>0.004055817721563481</x:v>
      </x:c>
    </x:row>
    <x:row r="46">
      <x:c r="A46" s="53" t="str">
        <x:v>CH</x:v>
      </x:c>
      <x:c r="B46" s="53" t="str">
        <x:v>CHE</x:v>
      </x:c>
      <x:c r="C46" s="53" t="str">
        <x:v>Switzerland</x:v>
      </x:c>
      <x:c r="D46" s="53" t="str">
        <x:v>AU</x:v>
      </x:c>
      <x:c r="E46" s="53" t="str">
        <x:v>AUS</x:v>
      </x:c>
      <x:c r="F46" s="53" t="str">
        <x:v>Australia</x:v>
      </x:c>
      <x:c r="G46" s="53" t="n">
        <x:v>2017</x:v>
      </x:c>
      <x:c r="H46" s="53" t="str">
        <x:v>Fund Holdings</x:v>
      </x:c>
      <x:c r="I46" s="53" t="str">
        <x:v>EF+B</x:v>
      </x:c>
      <x:c r="J46" s="53" t="n">
        <x:v>2</x:v>
      </x:c>
      <x:c r="K46" s="53" t="n">
        <x:v>0</x:v>
      </x:c>
      <x:c r="L46" s="53" t="n">
        <x:v>0</x:v>
      </x:c>
      <x:c r="M46" s="54" t="n">
        <x:v>27201.552968994984</x:v>
      </x:c>
      <x:c r="N46" s="54" t="n">
        <x:v>33753.59225027263</x:v>
      </x:c>
      <x:c r="O46" s="54" t="n">
        <x:v>6525.6434320658445</x:v>
      </x:c>
      <x:c r="P46" s="54" t="n">
        <x:v>27227.948818206787</x:v>
      </x:c>
      <x:c r="Q46" s="55" t="b">
        <x:v>0</x:v>
      </x:c>
      <x:c r="R46" s="56" t="str">
        <x:v>none</x:v>
      </x:c>
      <x:c r="S46" s="57" t="str">
        <x:v>GCAP estimated restatement; Position_Residency may include GCAP interpolation/extrapolation per documentation</x:v>
      </x:c>
      <x:c r="T46" s="57" t="str">
        <x:v>diagonal set to zero + within-sample row normalization</x:v>
      </x:c>
      <x:c r="U46" s="57" t="str">
        <x:v>GCAP Restated Bilateral External Portfolios v1.8</x:v>
      </x:c>
      <x:c r="V46" s="57" t="str">
        <x:v>IMF CPIS</x:v>
      </x:c>
      <x:c r="W46" s="58" t="str">
        <x:v>https://globalcapitalallocation.s3.us-east-2.amazonaws.com/Restated_Bilateral_External_Portfolios_ReadMe.pdf</x:v>
      </x:c>
      <x:c r="X46" s="59" t="n">
        <x:v>0.027796069505888202</x:v>
      </x:c>
      <x:c r="Y46" s="59" t="n">
        <x:v>0.02333563299676447</x:v>
      </x:c>
      <x:c r="Z46" s="59" t="n">
        <x:v>0.00948860649193681</x:v>
      </x:c>
      <x:c r="AA46" s="59" t="n">
        <x:v>0.05170566939279105</x:v>
      </x:c>
    </x:row>
    <x:row r="47">
      <x:c r="A47" s="53" t="str">
        <x:v>CH</x:v>
      </x:c>
      <x:c r="B47" s="53" t="str">
        <x:v>CHE</x:v>
      </x:c>
      <x:c r="C47" s="53" t="str">
        <x:v>Switzerland</x:v>
      </x:c>
      <x:c r="D47" s="53" t="str">
        <x:v>BR</x:v>
      </x:c>
      <x:c r="E47" s="53" t="str">
        <x:v>BRA</x:v>
      </x:c>
      <x:c r="F47" s="53" t="str">
        <x:v>Brazil</x:v>
      </x:c>
      <x:c r="G47" s="53" t="n">
        <x:v>2017</x:v>
      </x:c>
      <x:c r="H47" s="53" t="str">
        <x:v>Fund Holdings</x:v>
      </x:c>
      <x:c r="I47" s="53" t="str">
        <x:v>EF+B</x:v>
      </x:c>
      <x:c r="J47" s="53" t="n">
        <x:v>2</x:v>
      </x:c>
      <x:c r="K47" s="53" t="n">
        <x:v>0</x:v>
      </x:c>
      <x:c r="L47" s="53" t="n">
        <x:v>0</x:v>
      </x:c>
      <x:c r="M47" s="54" t="n">
        <x:v>4179.549854159481</x:v>
      </x:c>
      <x:c r="N47" s="54" t="n">
        <x:v>4789.206349566579</x:v>
      </x:c>
      <x:c r="O47" s="54" t="n">
        <x:v>2245.2982478290796</x:v>
      </x:c>
      <x:c r="P47" s="54" t="n">
        <x:v>2543.9081017374992</x:v>
      </x:c>
      <x:c r="Q47" s="55" t="b">
        <x:v>0</x:v>
      </x:c>
      <x:c r="R47" s="56" t="str">
        <x:v>none</x:v>
      </x:c>
      <x:c r="S47" s="57" t="str">
        <x:v>GCAP estimated restatement; Position_Residency may include GCAP interpolation/extrapolation per documentation</x:v>
      </x:c>
      <x:c r="T47" s="57" t="str">
        <x:v>diagonal set to zero + within-sample row normalization</x:v>
      </x:c>
      <x:c r="U47" s="57" t="str">
        <x:v>GCAP Restated Bilateral External Portfolios v1.8</x:v>
      </x:c>
      <x:c r="V47" s="57" t="str">
        <x:v>IMF CPIS</x:v>
      </x:c>
      <x:c r="W47" s="58" t="str">
        <x:v>https://globalcapitalallocation.s3.us-east-2.amazonaws.com/Restated_Bilateral_External_Portfolios_ReadMe.pdf</x:v>
      </x:c>
      <x:c r="X47" s="59" t="n">
        <x:v>0.003943909483279324</x:v>
      </x:c>
      <x:c r="Y47" s="59" t="n">
        <x:v>0.0035855468104896825</x:v>
      </x:c>
      <x:c r="Z47" s="59" t="n">
        <x:v>0.0032647740797478474</x:v>
      </x:c>
      <x:c r="AA47" s="59" t="n">
        <x:v>0.004830862293458085</x:v>
      </x:c>
    </x:row>
    <x:row r="48">
      <x:c r="A48" s="53" t="str">
        <x:v>CH</x:v>
      </x:c>
      <x:c r="B48" s="53" t="str">
        <x:v>CHE</x:v>
      </x:c>
      <x:c r="C48" s="53" t="str">
        <x:v>Switzerland</x:v>
      </x:c>
      <x:c r="D48" s="53" t="str">
        <x:v>CA</x:v>
      </x:c>
      <x:c r="E48" s="53" t="str">
        <x:v>CAN</x:v>
      </x:c>
      <x:c r="F48" s="53" t="str">
        <x:v>Canada</x:v>
      </x:c>
      <x:c r="G48" s="53" t="n">
        <x:v>2017</x:v>
      </x:c>
      <x:c r="H48" s="53" t="str">
        <x:v>Fund Holdings</x:v>
      </x:c>
      <x:c r="I48" s="53" t="str">
        <x:v>EF+B</x:v>
      </x:c>
      <x:c r="J48" s="53" t="n">
        <x:v>2</x:v>
      </x:c>
      <x:c r="K48" s="53" t="n">
        <x:v>0</x:v>
      </x:c>
      <x:c r="L48" s="53" t="n">
        <x:v>0</x:v>
      </x:c>
      <x:c r="M48" s="54" t="n">
        <x:v>39657.18385260829</x:v>
      </x:c>
      <x:c r="N48" s="54" t="n">
        <x:v>40747.580871504295</x:v>
      </x:c>
      <x:c r="O48" s="54" t="n">
        <x:v>11133.114748936641</x:v>
      </x:c>
      <x:c r="P48" s="54" t="n">
        <x:v>29614.466122567654</x:v>
      </x:c>
      <x:c r="Q48" s="55" t="b">
        <x:v>0</x:v>
      </x:c>
      <x:c r="R48" s="56" t="str">
        <x:v>none</x:v>
      </x:c>
      <x:c r="S48" s="57" t="str">
        <x:v>GCAP estimated restatement; Position_Residency may include GCAP interpolation/extrapolation per documentation</x:v>
      </x:c>
      <x:c r="T48" s="57" t="str">
        <x:v>diagonal set to zero + within-sample row normalization</x:v>
      </x:c>
      <x:c r="U48" s="57" t="str">
        <x:v>GCAP Restated Bilateral External Portfolios v1.8</x:v>
      </x:c>
      <x:c r="V48" s="57" t="str">
        <x:v>IMF CPIS</x:v>
      </x:c>
      <x:c r="W48" s="58" t="str">
        <x:v>https://globalcapitalallocation.s3.us-east-2.amazonaws.com/Restated_Bilateral_External_Portfolios_ReadMe.pdf</x:v>
      </x:c>
      <x:c r="X48" s="59" t="n">
        <x:v>0.03355561629420305</x:v>
      </x:c>
      <x:c r="Y48" s="59" t="n">
        <x:v>0.03402105347163467</x:v>
      </x:c>
      <x:c r="Z48" s="59" t="n">
        <x:v>0.016188096389568682</x:v>
      </x:c>
      <x:c r="AA48" s="59" t="n">
        <x:v>0.056237647749417946</x:v>
      </x:c>
    </x:row>
    <x:row r="49">
      <x:c r="A49" s="53" t="str">
        <x:v>CH</x:v>
      </x:c>
      <x:c r="B49" s="53" t="str">
        <x:v>CHE</x:v>
      </x:c>
      <x:c r="C49" s="53" t="str">
        <x:v>Switzerland</x:v>
      </x:c>
      <x:c r="D49" s="53" t="str">
        <x:v>CH</x:v>
      </x:c>
      <x:c r="E49" s="53" t="str">
        <x:v>CHE</x:v>
      </x:c>
      <x:c r="F49" s="53" t="str">
        <x:v>Switzerland</x:v>
      </x:c>
      <x:c r="G49" s="53" t="n">
        <x:v>2017</x:v>
      </x:c>
      <x:c r="H49" s="53" t="str">
        <x:v>Fund Holdings</x:v>
      </x:c>
      <x:c r="I49" s="53" t="str">
        <x:v>EF+B</x:v>
      </x:c>
      <x:c r="J49" s="53" t="n">
        <x:v>2</x:v>
      </x:c>
      <x:c r="K49" s="53" t="n">
        <x:v>0</x:v>
      </x:c>
      <x:c r="L49" s="53" t="n">
        <x:v>0</x:v>
      </x:c>
      <x:c r="M49" s="54" t="n">
        <x:v>967529.21875</x:v>
      </x:c>
      <x:c r="N49" s="54" t="n">
        <x:v>1003642.4334383756</x:v>
      </x:c>
      <x:c r="O49" s="54" t="n">
        <x:v>565834.9499108791</x:v>
      </x:c>
      <x:c r="P49" s="54" t="n">
        <x:v>437807.48352749646</x:v>
      </x:c>
      <x:c r="Q49" s="55" t="b">
        <x:v>1</x:v>
      </x:c>
      <x:c r="R49" s="56" t="str">
        <x:v>none</x:v>
      </x:c>
      <x:c r="S49" s="57" t="str">
        <x:v>GCAP estimated restatement; Position_Residency may include GCAP interpolation/extrapolation per documentation</x:v>
      </x:c>
      <x:c r="T49" s="57" t="str">
        <x:v>EA issuer aggregation + diagonal set to zero + within-sample row normalization</x:v>
      </x:c>
      <x:c r="U49" s="57" t="str">
        <x:v>GCAP Restated Bilateral External Portfolios v1.8</x:v>
      </x:c>
      <x:c r="V49" s="57" t="str">
        <x:v>IMF CPIS</x:v>
      </x:c>
      <x:c r="W49" s="58" t="str">
        <x:v>https://globalcapitalallocation.s3.us-east-2.amazonaws.com/Restated_Bilateral_External_Portfolios_ReadMe.pdf</x:v>
      </x:c>
      <x:c r="X49" s="59" t="n">
        <x:v>0</x:v>
      </x:c>
      <x:c r="Y49" s="59" t="n">
        <x:v>0</x:v>
      </x:c>
      <x:c r="Z49" s="59" t="n">
        <x:v>0</x:v>
      </x:c>
      <x:c r="AA49" s="59" t="n">
        <x:v>0</x:v>
      </x:c>
    </x:row>
    <x:row r="50">
      <x:c r="A50" s="53" t="str">
        <x:v>CH</x:v>
      </x:c>
      <x:c r="B50" s="53" t="str">
        <x:v>CHE</x:v>
      </x:c>
      <x:c r="C50" s="53" t="str">
        <x:v>Switzerland</x:v>
      </x:c>
      <x:c r="D50" s="53" t="str">
        <x:v>CN</x:v>
      </x:c>
      <x:c r="E50" s="53" t="str">
        <x:v>CHN</x:v>
      </x:c>
      <x:c r="F50" s="53" t="str">
        <x:v>China</x:v>
      </x:c>
      <x:c r="G50" s="53" t="n">
        <x:v>2017</x:v>
      </x:c>
      <x:c r="H50" s="53" t="str">
        <x:v>Fund Holdings</x:v>
      </x:c>
      <x:c r="I50" s="53" t="str">
        <x:v>EF+B</x:v>
      </x:c>
      <x:c r="J50" s="53" t="n">
        <x:v>2</x:v>
      </x:c>
      <x:c r="K50" s="53" t="n">
        <x:v>0</x:v>
      </x:c>
      <x:c r="L50" s="53" t="n">
        <x:v>0</x:v>
      </x:c>
      <x:c r="M50" s="54" t="n">
        <x:v>6185.54499459237</x:v>
      </x:c>
      <x:c r="N50" s="54" t="n">
        <x:v>62350.08546832623</x:v>
      </x:c>
      <x:c r="O50" s="54" t="n">
        <x:v>54907.60273525538</x:v>
      </x:c>
      <x:c r="P50" s="54" t="n">
        <x:v>7442.48273307085</x:v>
      </x:c>
      <x:c r="Q50" s="55" t="b">
        <x:v>0</x:v>
      </x:c>
      <x:c r="R50" s="56" t="str">
        <x:v>none</x:v>
      </x:c>
      <x:c r="S50" s="57" t="str">
        <x:v>GCAP estimated restatement; Position_Residency may include GCAP interpolation/extrapolation per documentation</x:v>
      </x:c>
      <x:c r="T50" s="57" t="str">
        <x:v>diagonal set to zero + within-sample row normalization</x:v>
      </x:c>
      <x:c r="U50" s="57" t="str">
        <x:v>GCAP Restated Bilateral External Portfolios v1.8</x:v>
      </x:c>
      <x:c r="V50" s="57" t="str">
        <x:v>IMF CPIS</x:v>
      </x:c>
      <x:c r="W50" s="58" t="str">
        <x:v>https://globalcapitalallocation.s3.us-east-2.amazonaws.com/Restated_Bilateral_External_Portfolios_ReadMe.pdf</x:v>
      </x:c>
      <x:c r="X50" s="59" t="n">
        <x:v>0.05134527005378716</x:v>
      </x:c>
      <x:c r="Y50" s="59" t="n">
        <x:v>0.0053064473209786045</x:v>
      </x:c>
      <x:c r="Z50" s="59" t="n">
        <x:v>0.07983835482189347</x:v>
      </x:c>
      <x:c r="AA50" s="59" t="n">
        <x:v>0.014133218562552787</x:v>
      </x:c>
    </x:row>
    <x:row r="51">
      <x:c r="A51" s="53" t="str">
        <x:v>CH</x:v>
      </x:c>
      <x:c r="B51" s="53" t="str">
        <x:v>CHE</x:v>
      </x:c>
      <x:c r="C51" s="53" t="str">
        <x:v>Switzerland</x:v>
      </x:c>
      <x:c r="D51" s="53" t="str">
        <x:v>EA</x:v>
      </x:c>
      <x:c r="E51" s="53" t="str">
        <x:v>EMU</x:v>
      </x:c>
      <x:c r="F51" s="53" t="str">
        <x:v>European Monetary Union</x:v>
      </x:c>
      <x:c r="G51" s="53" t="n">
        <x:v>2017</x:v>
      </x:c>
      <x:c r="H51" s="53" t="str">
        <x:v>Fund Holdings</x:v>
      </x:c>
      <x:c r="I51" s="53" t="str">
        <x:v>EF+B</x:v>
      </x:c>
      <x:c r="J51" s="53" t="n">
        <x:v>38</x:v>
      </x:c>
      <x:c r="K51" s="53" t="n">
        <x:v>0</x:v>
      </x:c>
      <x:c r="L51" s="53" t="n">
        <x:v>0</x:v>
      </x:c>
      <x:c r="M51" s="54" t="n">
        <x:v>617524.9001290951</x:v>
      </x:c>
      <x:c r="N51" s="54" t="n">
        <x:v>570370.0655530975</x:v>
      </x:c>
      <x:c r="O51" s="54" t="n">
        <x:v>360134.48673790554</x:v>
      </x:c>
      <x:c r="P51" s="54" t="n">
        <x:v>210235.57881519198</x:v>
      </x:c>
      <x:c r="Q51" s="55" t="b">
        <x:v>0</x:v>
      </x:c>
      <x:c r="R51" s="56" t="str">
        <x:v>none</x:v>
      </x:c>
      <x:c r="S51" s="57" t="str">
        <x:v>GCAP estimated restatement; Position_Residency may include GCAP interpolation/extrapolation per documentation</x:v>
      </x:c>
      <x:c r="T51" s="57" t="str">
        <x:v>EA issuer aggregation + diagonal set to zero + within-sample row normalization</x:v>
      </x:c>
      <x:c r="U51" s="57" t="str">
        <x:v>GCAP Restated Bilateral External Portfolios v1.8</x:v>
      </x:c>
      <x:c r="V51" s="57" t="str">
        <x:v>IMF CPIS</x:v>
      </x:c>
      <x:c r="W51" s="58" t="str">
        <x:v>https://globalcapitalallocation.s3.us-east-2.amazonaws.com/Restated_Bilateral_External_Portfolios_ReadMe.pdf</x:v>
      </x:c>
      <x:c r="X51" s="59" t="n">
        <x:v>0.46969951727327197</x:v>
      </x:c>
      <x:c r="Y51" s="59" t="n">
        <x:v>0.5297614607592978</x:v>
      </x:c>
      <x:c r="Z51" s="59" t="n">
        <x:v>0.5236532557142546</x:v>
      </x:c>
      <x:c r="AA51" s="59" t="n">
        <x:v>0.3992357781116285</x:v>
      </x:c>
    </x:row>
    <x:row r="52">
      <x:c r="A52" s="53" t="str">
        <x:v>CH</x:v>
      </x:c>
      <x:c r="B52" s="53" t="str">
        <x:v>CHE</x:v>
      </x:c>
      <x:c r="C52" s="53" t="str">
        <x:v>Switzerland</x:v>
      </x:c>
      <x:c r="D52" s="53" t="str">
        <x:v>UK</x:v>
      </x:c>
      <x:c r="E52" s="53" t="str">
        <x:v>GBR</x:v>
      </x:c>
      <x:c r="F52" s="53" t="str">
        <x:v>United Kingdom</x:v>
      </x:c>
      <x:c r="G52" s="53" t="n">
        <x:v>2017</x:v>
      </x:c>
      <x:c r="H52" s="53" t="str">
        <x:v>Fund Holdings</x:v>
      </x:c>
      <x:c r="I52" s="53" t="str">
        <x:v>EF+B</x:v>
      </x:c>
      <x:c r="J52" s="53" t="n">
        <x:v>2</x:v>
      </x:c>
      <x:c r="K52" s="53" t="n">
        <x:v>0</x:v>
      </x:c>
      <x:c r="L52" s="53" t="n">
        <x:v>0</x:v>
      </x:c>
      <x:c r="M52" s="54" t="n">
        <x:v>84130.6285119046</x:v>
      </x:c>
      <x:c r="N52" s="54" t="n">
        <x:v>80562.323464402</x:v>
      </x:c>
      <x:c r="O52" s="54" t="n">
        <x:v>37829.692135700025</x:v>
      </x:c>
      <x:c r="P52" s="54" t="n">
        <x:v>42732.63132870197</x:v>
      </x:c>
      <x:c r="Q52" s="55" t="b">
        <x:v>0</x:v>
      </x:c>
      <x:c r="R52" s="56" t="str">
        <x:v>none</x:v>
      </x:c>
      <x:c r="S52" s="57" t="str">
        <x:v>GCAP estimated restatement; Position_Residency may include GCAP interpolation/extrapolation per documentation</x:v>
      </x:c>
      <x:c r="T52" s="57" t="str">
        <x:v>diagonal set to zero + within-sample row normalization</x:v>
      </x:c>
      <x:c r="U52" s="57" t="str">
        <x:v>GCAP Restated Bilateral External Portfolios v1.8</x:v>
      </x:c>
      <x:c r="V52" s="57" t="str">
        <x:v>IMF CPIS</x:v>
      </x:c>
      <x:c r="W52" s="58" t="str">
        <x:v>https://globalcapitalallocation.s3.us-east-2.amazonaws.com/Restated_Bilateral_External_Portfolios_ReadMe.pdf</x:v>
      </x:c>
      <x:c r="X52" s="59" t="n">
        <x:v>0.06634304064493399</x:v>
      </x:c>
      <x:c r="Y52" s="59" t="n">
        <x:v>0.07217387452027783</x:v>
      </x:c>
      <x:c r="Z52" s="59" t="n">
        <x:v>0.05500623289083692</x:v>
      </x:c>
      <x:c r="AA52" s="59" t="n">
        <x:v>0.08114894450985703</x:v>
      </x:c>
    </x:row>
    <x:row r="53">
      <x:c r="A53" s="53" t="str">
        <x:v>CH</x:v>
      </x:c>
      <x:c r="B53" s="53" t="str">
        <x:v>CHE</x:v>
      </x:c>
      <x:c r="C53" s="53" t="str">
        <x:v>Switzerland</x:v>
      </x:c>
      <x:c r="D53" s="53" t="str">
        <x:v>JP</x:v>
      </x:c>
      <x:c r="E53" s="53" t="str">
        <x:v>JPN</x:v>
      </x:c>
      <x:c r="F53" s="53" t="str">
        <x:v>Japan</x:v>
      </x:c>
      <x:c r="G53" s="53" t="n">
        <x:v>2017</x:v>
      </x:c>
      <x:c r="H53" s="53" t="str">
        <x:v>Fund Holdings</x:v>
      </x:c>
      <x:c r="I53" s="53" t="str">
        <x:v>EF+B</x:v>
      </x:c>
      <x:c r="J53" s="53" t="n">
        <x:v>2</x:v>
      </x:c>
      <x:c r="K53" s="53" t="n">
        <x:v>0</x:v>
      </x:c>
      <x:c r="L53" s="53" t="n">
        <x:v>0</x:v>
      </x:c>
      <x:c r="M53" s="54" t="n">
        <x:v>32710.034720214397</x:v>
      </x:c>
      <x:c r="N53" s="54" t="n">
        <x:v>40233.167527355254</x:v>
      </x:c>
      <x:c r="O53" s="54" t="n">
        <x:v>27339.922913054004</x:v>
      </x:c>
      <x:c r="P53" s="54" t="n">
        <x:v>12893.24461430125</x:v>
      </x:c>
      <x:c r="Q53" s="55" t="b">
        <x:v>0</x:v>
      </x:c>
      <x:c r="R53" s="56" t="str">
        <x:v>none</x:v>
      </x:c>
      <x:c r="S53" s="57" t="str">
        <x:v>GCAP estimated restatement; Position_Residency may include GCAP interpolation/extrapolation per documentation</x:v>
      </x:c>
      <x:c r="T53" s="57" t="str">
        <x:v>diagonal set to zero + within-sample row normalization</x:v>
      </x:c>
      <x:c r="U53" s="57" t="str">
        <x:v>GCAP Restated Bilateral External Portfolios v1.8</x:v>
      </x:c>
      <x:c r="V53" s="57" t="str">
        <x:v>IMF CPIS</x:v>
      </x:c>
      <x:c r="W53" s="58" t="str">
        <x:v>https://globalcapitalallocation.s3.us-east-2.amazonaws.com/Restated_Bilateral_External_Portfolios_ReadMe.pdf</x:v>
      </x:c>
      <x:c r="X53" s="59" t="n">
        <x:v>0.033131997114273906</x:v>
      </x:c>
      <x:c r="Y53" s="59" t="n">
        <x:v>0.028061242180267645</x:v>
      </x:c>
      <x:c r="Z53" s="59" t="n">
        <x:v>0.03975359253726976</x:v>
      </x:c>
      <x:c r="AA53" s="59" t="n">
        <x:v>0.02448417425339312</x:v>
      </x:c>
    </x:row>
    <x:row r="54">
      <x:c r="A54" s="53" t="str">
        <x:v>CH</x:v>
      </x:c>
      <x:c r="B54" s="53" t="str">
        <x:v>CHE</x:v>
      </x:c>
      <x:c r="C54" s="53" t="str">
        <x:v>Switzerland</x:v>
      </x:c>
      <x:c r="D54" s="53" t="str">
        <x:v>KR</x:v>
      </x:c>
      <x:c r="E54" s="53" t="str">
        <x:v>KOR</x:v>
      </x:c>
      <x:c r="F54" s="53" t="str">
        <x:v>Korea, Republic of</x:v>
      </x:c>
      <x:c r="G54" s="53" t="n">
        <x:v>2017</x:v>
      </x:c>
      <x:c r="H54" s="53" t="str">
        <x:v>Fund Holdings</x:v>
      </x:c>
      <x:c r="I54" s="53" t="str">
        <x:v>EF+B</x:v>
      </x:c>
      <x:c r="J54" s="53" t="n">
        <x:v>2</x:v>
      </x:c>
      <x:c r="K54" s="53" t="n">
        <x:v>0</x:v>
      </x:c>
      <x:c r="L54" s="53" t="n">
        <x:v>0</x:v>
      </x:c>
      <x:c r="M54" s="54" t="n">
        <x:v>11376.22594280147</x:v>
      </x:c>
      <x:c r="N54" s="54" t="n">
        <x:v>11513.928229615092</x:v>
      </x:c>
      <x:c r="O54" s="54" t="n">
        <x:v>5769.280234619975</x:v>
      </x:c>
      <x:c r="P54" s="54" t="n">
        <x:v>5744.647994995117</x:v>
      </x:c>
      <x:c r="Q54" s="55" t="b">
        <x:v>0</x:v>
      </x:c>
      <x:c r="R54" s="56" t="str">
        <x:v>none</x:v>
      </x:c>
      <x:c r="S54" s="57" t="str">
        <x:v>GCAP estimated restatement; Position_Residency may include GCAP interpolation/extrapolation per documentation</x:v>
      </x:c>
      <x:c r="T54" s="57" t="str">
        <x:v>diagonal set to zero + within-sample row normalization</x:v>
      </x:c>
      <x:c r="U54" s="57" t="str">
        <x:v>GCAP Restated Bilateral External Portfolios v1.8</x:v>
      </x:c>
      <x:c r="V54" s="57" t="str">
        <x:v>IMF CPIS</x:v>
      </x:c>
      <x:c r="W54" s="58" t="str">
        <x:v>https://globalcapitalallocation.s3.us-east-2.amazonaws.com/Restated_Bilateral_External_Portfolios_ReadMe.pdf</x:v>
      </x:c>
      <x:c r="X54" s="59" t="n">
        <x:v>0.009481715219617977</x:v>
      </x:c>
      <x:c r="Y54" s="59" t="n">
        <x:v>0.009759421963594396</x:v>
      </x:c>
      <x:c r="Z54" s="59" t="n">
        <x:v>0.008388817203683443</x:v>
      </x:c>
      <x:c r="AA54" s="59" t="n">
        <x:v>0.010909043203745077</x:v>
      </x:c>
    </x:row>
    <x:row r="55">
      <x:c r="A55" s="53" t="str">
        <x:v>CH</x:v>
      </x:c>
      <x:c r="B55" s="53" t="str">
        <x:v>CHE</x:v>
      </x:c>
      <x:c r="C55" s="53" t="str">
        <x:v>Switzerland</x:v>
      </x:c>
      <x:c r="D55" s="53" t="str">
        <x:v>NO</x:v>
      </x:c>
      <x:c r="E55" s="53" t="str">
        <x:v>NOR</x:v>
      </x:c>
      <x:c r="F55" s="53" t="str">
        <x:v>Norway</x:v>
      </x:c>
      <x:c r="G55" s="53" t="n">
        <x:v>2017</x:v>
      </x:c>
      <x:c r="H55" s="53" t="str">
        <x:v>Fund Holdings</x:v>
      </x:c>
      <x:c r="I55" s="53" t="str">
        <x:v>EF+B</x:v>
      </x:c>
      <x:c r="J55" s="53" t="n">
        <x:v>2</x:v>
      </x:c>
      <x:c r="K55" s="53" t="n">
        <x:v>0</x:v>
      </x:c>
      <x:c r="L55" s="53" t="n">
        <x:v>0</x:v>
      </x:c>
      <x:c r="M55" s="54" t="n">
        <x:v>8690.76901779185</x:v>
      </x:c>
      <x:c r="N55" s="54" t="n">
        <x:v>9004.854358434677</x:v>
      </x:c>
      <x:c r="O55" s="54" t="n">
        <x:v>1591.9004275798798</x:v>
      </x:c>
      <x:c r="P55" s="54" t="n">
        <x:v>7412.953930854797</x:v>
      </x:c>
      <x:c r="Q55" s="55" t="b">
        <x:v>0</x:v>
      </x:c>
      <x:c r="R55" s="56" t="str">
        <x:v>none</x:v>
      </x:c>
      <x:c r="S55" s="57" t="str">
        <x:v>GCAP estimated restatement; Position_Residency may include GCAP interpolation/extrapolation per documentation</x:v>
      </x:c>
      <x:c r="T55" s="57" t="str">
        <x:v>diagonal set to zero + within-sample row normalization</x:v>
      </x:c>
      <x:c r="U55" s="57" t="str">
        <x:v>GCAP Restated Bilateral External Portfolios v1.8</x:v>
      </x:c>
      <x:c r="V55" s="57" t="str">
        <x:v>IMF CPIS</x:v>
      </x:c>
      <x:c r="W55" s="58" t="str">
        <x:v>https://globalcapitalallocation.s3.us-east-2.amazonaws.com/Restated_Bilateral_External_Portfolios_ReadMe.pdf</x:v>
      </x:c>
      <x:c r="X55" s="59" t="n">
        <x:v>0.007415493905998372</x:v>
      </x:c>
      <x:c r="Y55" s="59" t="n">
        <x:v>0.007455625658211635</x:v>
      </x:c>
      <x:c r="Z55" s="59" t="n">
        <x:v>0.0023147015139424526</x:v>
      </x:c>
      <x:c r="AA55" s="59" t="n">
        <x:v>0.014077143589915575</x:v>
      </x:c>
    </x:row>
    <x:row r="56">
      <x:c r="A56" s="53" t="str">
        <x:v>CH</x:v>
      </x:c>
      <x:c r="B56" s="53" t="str">
        <x:v>CHE</x:v>
      </x:c>
      <x:c r="C56" s="53" t="str">
        <x:v>Switzerland</x:v>
      </x:c>
      <x:c r="D56" s="53" t="str">
        <x:v>SG</x:v>
      </x:c>
      <x:c r="E56" s="53" t="str">
        <x:v>SGP</x:v>
      </x:c>
      <x:c r="F56" s="53" t="str">
        <x:v>Singapore</x:v>
      </x:c>
      <x:c r="G56" s="53" t="n">
        <x:v>2017</x:v>
      </x:c>
      <x:c r="H56" s="53" t="str">
        <x:v>Fund Holdings</x:v>
      </x:c>
      <x:c r="I56" s="53" t="str">
        <x:v>EF+B</x:v>
      </x:c>
      <x:c r="J56" s="53" t="n">
        <x:v>2</x:v>
      </x:c>
      <x:c r="K56" s="53" t="n">
        <x:v>0</x:v>
      </x:c>
      <x:c r="L56" s="53" t="n">
        <x:v>0</x:v>
      </x:c>
      <x:c r="M56" s="54" t="n">
        <x:v>4646.41594010218</x:v>
      </x:c>
      <x:c r="N56" s="54" t="n">
        <x:v>3543.916711270809</x:v>
      </x:c>
      <x:c r="O56" s="54" t="n">
        <x:v>1716.9316038489342</x:v>
      </x:c>
      <x:c r="P56" s="54" t="n">
        <x:v>1826.985107421875</x:v>
      </x:c>
      <x:c r="Q56" s="55" t="b">
        <x:v>0</x:v>
      </x:c>
      <x:c r="R56" s="56" t="str">
        <x:v>none</x:v>
      </x:c>
      <x:c r="S56" s="57" t="str">
        <x:v>GCAP estimated restatement; Position_Residency may include GCAP interpolation/extrapolation per documentation</x:v>
      </x:c>
      <x:c r="T56" s="57" t="str">
        <x:v>diagonal set to zero + within-sample row normalization</x:v>
      </x:c>
      <x:c r="U56" s="57" t="str">
        <x:v>GCAP Restated Bilateral External Portfolios v1.8</x:v>
      </x:c>
      <x:c r="V56" s="57" t="str">
        <x:v>IMF CPIS</x:v>
      </x:c>
      <x:c r="W56" s="58" t="str">
        <x:v>https://globalcapitalallocation.s3.us-east-2.amazonaws.com/Restated_Bilateral_External_Portfolios_ReadMe.pdf</x:v>
      </x:c>
      <x:c r="X56" s="59" t="n">
        <x:v>0.002918413972034828</x:v>
      </x:c>
      <x:c r="Y56" s="59" t="n">
        <x:v>0.003986061283049859</x:v>
      </x:c>
      <x:c r="Z56" s="59" t="n">
        <x:v>0.00249650299347341</x:v>
      </x:c>
      <x:c r="AA56" s="59" t="n">
        <x:v>0.0034694309358603292</x:v>
      </x:c>
    </x:row>
    <x:row r="57">
      <x:c r="A57" s="53" t="str">
        <x:v>CH</x:v>
      </x:c>
      <x:c r="B57" s="53" t="str">
        <x:v>CHE</x:v>
      </x:c>
      <x:c r="C57" s="53" t="str">
        <x:v>Switzerland</x:v>
      </x:c>
      <x:c r="D57" s="53" t="str">
        <x:v>TR</x:v>
      </x:c>
      <x:c r="E57" s="53" t="str">
        <x:v>TUR</x:v>
      </x:c>
      <x:c r="F57" s="53" t="str">
        <x:v>Turkey</x:v>
      </x:c>
      <x:c r="G57" s="53" t="n">
        <x:v>2017</x:v>
      </x:c>
      <x:c r="H57" s="53" t="str">
        <x:v>Fund Holdings</x:v>
      </x:c>
      <x:c r="I57" s="53" t="str">
        <x:v>EF+B</x:v>
      </x:c>
      <x:c r="J57" s="53" t="n">
        <x:v>2</x:v>
      </x:c>
      <x:c r="K57" s="53" t="n">
        <x:v>0</x:v>
      </x:c>
      <x:c r="L57" s="53" t="n">
        <x:v>0</x:v>
      </x:c>
      <x:c r="M57" s="54" t="n">
        <x:v>1861.6836324848912</x:v>
      </x:c>
      <x:c r="N57" s="54" t="n">
        <x:v>1811.3260558843613</x:v>
      </x:c>
      <x:c r="O57" s="54" t="n">
        <x:v>353.95618283748627</x:v>
      </x:c>
      <x:c r="P57" s="54" t="n">
        <x:v>1457.369873046875</x:v>
      </x:c>
      <x:c r="Q57" s="55" t="b">
        <x:v>0</x:v>
      </x:c>
      <x:c r="R57" s="56" t="str">
        <x:v>none</x:v>
      </x:c>
      <x:c r="S57" s="57" t="str">
        <x:v>GCAP estimated restatement; Position_Residency may include GCAP interpolation/extrapolation per documentation</x:v>
      </x:c>
      <x:c r="T57" s="57" t="str">
        <x:v>diagonal set to zero + within-sample row normalization</x:v>
      </x:c>
      <x:c r="U57" s="57" t="str">
        <x:v>GCAP Restated Bilateral External Portfolios v1.8</x:v>
      </x:c>
      <x:c r="V57" s="57" t="str">
        <x:v>IMF CPIS</x:v>
      </x:c>
      <x:c r="W57" s="58" t="str">
        <x:v>https://globalcapitalallocation.s3.us-east-2.amazonaws.com/Restated_Bilateral_External_Portfolios_ReadMe.pdf</x:v>
      </x:c>
      <x:c r="X57" s="59" t="n">
        <x:v>0.001491626271179518</x:v>
      </x:c>
      <x:c r="Y57" s="59" t="n">
        <x:v>0.0015970987411369065</x:v>
      </x:c>
      <x:c r="Z57" s="59" t="n">
        <x:v>0.0005146696979840527</x:v>
      </x:c>
      <x:c r="AA57" s="59" t="n">
        <x:v>0.0027675343942319915</x:v>
      </x:c>
    </x:row>
    <x:row r="58">
      <x:c r="A58" s="53" t="str">
        <x:v>CH</x:v>
      </x:c>
      <x:c r="B58" s="53" t="str">
        <x:v>CHE</x:v>
      </x:c>
      <x:c r="C58" s="53" t="str">
        <x:v>Switzerland</x:v>
      </x:c>
      <x:c r="D58" s="53" t="str">
        <x:v>US</x:v>
      </x:c>
      <x:c r="E58" s="53" t="str">
        <x:v>USA</x:v>
      </x:c>
      <x:c r="F58" s="53" t="str">
        <x:v>United States</x:v>
      </x:c>
      <x:c r="G58" s="53" t="n">
        <x:v>2017</x:v>
      </x:c>
      <x:c r="H58" s="53" t="str">
        <x:v>Fund Holdings</x:v>
      </x:c>
      <x:c r="I58" s="53" t="str">
        <x:v>EF+B</x:v>
      </x:c>
      <x:c r="J58" s="53" t="n">
        <x:v>2</x:v>
      </x:c>
      <x:c r="K58" s="53" t="n">
        <x:v>0</x:v>
      </x:c>
      <x:c r="L58" s="53" t="n">
        <x:v>0</x:v>
      </x:c>
      <x:c r="M58" s="54" t="n">
        <x:v>324378.04801667796</x:v>
      </x:c>
      <x:c r="N58" s="54" t="n">
        <x:v>352066.1985799419</x:v>
      </x:c>
      <x:c r="O58" s="54" t="n">
        <x:v>175960.8714086162</x:v>
      </x:c>
      <x:c r="P58" s="54" t="n">
        <x:v>176105.32717132568</x:v>
      </x:c>
      <x:c r="Q58" s="55" t="b">
        <x:v>0</x:v>
      </x:c>
      <x:c r="R58" s="56" t="str">
        <x:v>none</x:v>
      </x:c>
      <x:c r="S58" s="57" t="str">
        <x:v>GCAP estimated restatement; Position_Residency may include GCAP interpolation/extrapolation per documentation</x:v>
      </x:c>
      <x:c r="T58" s="57" t="str">
        <x:v>diagonal set to zero + within-sample row normalization</x:v>
      </x:c>
      <x:c r="U58" s="57" t="str">
        <x:v>GCAP Restated Bilateral External Portfolios v1.8</x:v>
      </x:c>
      <x:c r="V58" s="57" t="str">
        <x:v>IMF CPIS</x:v>
      </x:c>
      <x:c r="W58" s="58" t="str">
        <x:v>https://globalcapitalallocation.s3.us-east-2.amazonaws.com/Restated_Bilateral_External_Portfolios_ReadMe.pdf</x:v>
      </x:c>
      <x:c r="X58" s="59" t="n">
        <x:v>0.2899263715056242</x:v>
      </x:c>
      <x:c r="Y58" s="59" t="n">
        <x:v>0.27827701930665594</x:v>
      </x:c>
      <x:c r="Z58" s="59" t="n">
        <x:v>0.25585576106877417</x:v>
      </x:c>
      <x:c r="AA58" s="59" t="n">
        <x:v>0.3344226877252357</x:v>
      </x:c>
    </x:row>
    <x:row r="59">
      <x:c r="A59" s="53" t="str">
        <x:v>CH</x:v>
      </x:c>
      <x:c r="B59" s="53" t="str">
        <x:v>CHE</x:v>
      </x:c>
      <x:c r="C59" s="53" t="str">
        <x:v>Switzerland</x:v>
      </x:c>
      <x:c r="D59" s="53" t="str">
        <x:v>ZA</x:v>
      </x:c>
      <x:c r="E59" s="53" t="str">
        <x:v>ZAF</x:v>
      </x:c>
      <x:c r="F59" s="53" t="str">
        <x:v>South Africa</x:v>
      </x:c>
      <x:c r="G59" s="53" t="n">
        <x:v>2017</x:v>
      </x:c>
      <x:c r="H59" s="53" t="str">
        <x:v>Fund Holdings</x:v>
      </x:c>
      <x:c r="I59" s="53" t="str">
        <x:v>EF+B</x:v>
      </x:c>
      <x:c r="J59" s="53" t="n">
        <x:v>2</x:v>
      </x:c>
      <x:c r="K59" s="53" t="n">
        <x:v>0</x:v>
      </x:c>
      <x:c r="L59" s="53" t="n">
        <x:v>0</x:v>
      </x:c>
      <x:c r="M59" s="54" t="n">
        <x:v>3123.4194023204104</x:v>
      </x:c>
      <x:c r="N59" s="54" t="n">
        <x:v>3583.4368083290756</x:v>
      </x:c>
      <x:c r="O59" s="54" t="n">
        <x:v>2225.9457503557205</x:v>
      </x:c>
      <x:c r="P59" s="54" t="n">
        <x:v>1357.491057973355</x:v>
      </x:c>
      <x:c r="Q59" s="55" t="b">
        <x:v>0</x:v>
      </x:c>
      <x:c r="R59" s="56" t="str">
        <x:v>none</x:v>
      </x:c>
      <x:c r="S59" s="57" t="str">
        <x:v>GCAP estimated restatement; Position_Residency may include GCAP interpolation/extrapolation per documentation</x:v>
      </x:c>
      <x:c r="T59" s="57" t="str">
        <x:v>diagonal set to zero + within-sample row normalization</x:v>
      </x:c>
      <x:c r="U59" s="57" t="str">
        <x:v>GCAP Restated Bilateral External Portfolios v1.8</x:v>
      </x:c>
      <x:c r="V59" s="57" t="str">
        <x:v>IMF CPIS</x:v>
      </x:c>
      <x:c r="W59" s="58" t="str">
        <x:v>https://globalcapitalallocation.s3.us-east-2.amazonaws.com/Restated_Bilateral_External_Portfolios_ReadMe.pdf</x:v>
      </x:c>
      <x:c r="X59" s="59" t="n">
        <x:v>0.002950958755907488</x:v>
      </x:c>
      <x:c r="Y59" s="59" t="n">
        <x:v>0.00267951498764063</x:v>
      </x:c>
      <x:c r="Z59" s="59" t="n">
        <x:v>0.0032366345966344137</x:v>
      </x:c>
      <x:c r="AA59" s="59" t="n">
        <x:v>0.0025778652779127383</x:v>
      </x:c>
    </x:row>
    <x:row r="60">
      <x:c r="A60" s="53" t="str">
        <x:v>CN</x:v>
      </x:c>
      <x:c r="B60" s="53" t="str">
        <x:v>CHN</x:v>
      </x:c>
      <x:c r="C60" s="53" t="str">
        <x:v>China</x:v>
      </x:c>
      <x:c r="D60" s="53" t="str">
        <x:v>AU</x:v>
      </x:c>
      <x:c r="E60" s="53" t="str">
        <x:v>AUS</x:v>
      </x:c>
      <x:c r="F60" s="53" t="str">
        <x:v>Australia</x:v>
      </x:c>
      <x:c r="G60" s="53" t="n">
        <x:v>2017</x:v>
      </x:c>
      <x:c r="H60" s="53" t="str">
        <x:v>Issuance</x:v>
      </x:c>
      <x:c r="I60" s="53" t="str">
        <x:v>EF+B</x:v>
      </x:c>
      <x:c r="J60" s="53" t="n">
        <x:v>2</x:v>
      </x:c>
      <x:c r="K60" s="53" t="n">
        <x:v>0</x:v>
      </x:c>
      <x:c r="L60" s="53" t="n">
        <x:v>0</x:v>
      </x:c>
      <x:c r="M60" s="54" t="n">
        <x:v>9204.543893</x:v>
      </x:c>
      <x:c r="N60" s="54" t="n">
        <x:v>10431.10170638204</x:v>
      </x:c>
      <x:c r="O60" s="54" t="n">
        <x:v>5549.230597457069</x:v>
      </x:c>
      <x:c r="P60" s="54" t="n">
        <x:v>4881.87110892497</x:v>
      </x:c>
      <x:c r="Q60" s="55" t="b">
        <x:v>0</x:v>
      </x:c>
      <x:c r="R60" s="56" t="str">
        <x:v>none</x:v>
      </x:c>
      <x:c r="S60" s="57" t="str">
        <x:v>GCAP estimated restatement; Position_Residency may include GCAP interpolation/extrapolation per documentation</x:v>
      </x:c>
      <x:c r="T60" s="57" t="str">
        <x:v>diagonal set to zero + within-sample row normalization</x:v>
      </x:c>
      <x:c r="U60" s="57" t="str">
        <x:v>GCAP Restated Bilateral External Portfolios v1.8</x:v>
      </x:c>
      <x:c r="V60" s="57" t="str">
        <x:v>IMF CPIS</x:v>
      </x:c>
      <x:c r="W60" s="58" t="str">
        <x:v>https://globalcapitalallocation.s3.us-east-2.amazonaws.com/Restated_Bilateral_External_Portfolios_ReadMe.pdf</x:v>
      </x:c>
      <x:c r="X60" s="59" t="n">
        <x:v>0.037800280953038744</x:v>
      </x:c>
      <x:c r="Y60" s="59" t="n">
        <x:v>0.037056028933525845</x:v>
      </x:c>
      <x:c r="Z60" s="59" t="n">
        <x:v>0.034483948099882054</x:v>
      </x:c>
      <x:c r="AA60" s="59" t="n">
        <x:v>0.042439655597428516</x:v>
      </x:c>
    </x:row>
    <x:row r="61">
      <x:c r="A61" s="53" t="str">
        <x:v>CN</x:v>
      </x:c>
      <x:c r="B61" s="53" t="str">
        <x:v>CHN</x:v>
      </x:c>
      <x:c r="C61" s="53" t="str">
        <x:v>China</x:v>
      </x:c>
      <x:c r="D61" s="53" t="str">
        <x:v>BR</x:v>
      </x:c>
      <x:c r="E61" s="53" t="str">
        <x:v>BRA</x:v>
      </x:c>
      <x:c r="F61" s="53" t="str">
        <x:v>Brazil</x:v>
      </x:c>
      <x:c r="G61" s="53" t="n">
        <x:v>2017</x:v>
      </x:c>
      <x:c r="H61" s="53" t="str">
        <x:v>Issuance</x:v>
      </x:c>
      <x:c r="I61" s="53" t="str">
        <x:v>EF+B</x:v>
      </x:c>
      <x:c r="J61" s="53" t="n">
        <x:v>2</x:v>
      </x:c>
      <x:c r="K61" s="53" t="n">
        <x:v>0</x:v>
      </x:c>
      <x:c r="L61" s="53" t="n">
        <x:v>0</x:v>
      </x:c>
      <x:c r="M61" s="54" t="n">
        <x:v>1889.348218</x:v>
      </x:c>
      <x:c r="N61" s="54" t="n">
        <x:v>3015.0346838921982</x:v>
      </x:c>
      <x:c r="O61" s="54" t="n">
        <x:v>1160.7886773735959</x:v>
      </x:c>
      <x:c r="P61" s="54" t="n">
        <x:v>1854.2460065186024</x:v>
      </x:c>
      <x:c r="Q61" s="55" t="b">
        <x:v>0</x:v>
      </x:c>
      <x:c r="R61" s="56" t="str">
        <x:v>none</x:v>
      </x:c>
      <x:c r="S61" s="57" t="str">
        <x:v>GCAP estimated restatement; Position_Residency may include GCAP interpolation/extrapolation per documentation</x:v>
      </x:c>
      <x:c r="T61" s="57" t="str">
        <x:v>diagonal set to zero + within-sample row normalization</x:v>
      </x:c>
      <x:c r="U61" s="57" t="str">
        <x:v>GCAP Restated Bilateral External Portfolios v1.8</x:v>
      </x:c>
      <x:c r="V61" s="57" t="str">
        <x:v>IMF CPIS</x:v>
      </x:c>
      <x:c r="W61" s="58" t="str">
        <x:v>https://globalcapitalallocation.s3.us-east-2.amazonaws.com/Restated_Bilateral_External_Portfolios_ReadMe.pdf</x:v>
      </x:c>
      <x:c r="X61" s="59" t="n">
        <x:v>0.010925898466175624</x:v>
      </x:c>
      <x:c r="Y61" s="59" t="n">
        <x:v>0.007606215261242549</x:v>
      </x:c>
      <x:c r="Z61" s="59" t="n">
        <x:v>0.007213356122527126</x:v>
      </x:c>
      <x:c r="AA61" s="59" t="n">
        <x:v>0.01611954927808114</x:v>
      </x:c>
    </x:row>
    <x:row r="62">
      <x:c r="A62" s="53" t="str">
        <x:v>CN</x:v>
      </x:c>
      <x:c r="B62" s="53" t="str">
        <x:v>CHN</x:v>
      </x:c>
      <x:c r="C62" s="53" t="str">
        <x:v>China</x:v>
      </x:c>
      <x:c r="D62" s="53" t="str">
        <x:v>CA</x:v>
      </x:c>
      <x:c r="E62" s="53" t="str">
        <x:v>CAN</x:v>
      </x:c>
      <x:c r="F62" s="53" t="str">
        <x:v>Canada</x:v>
      </x:c>
      <x:c r="G62" s="53" t="n">
        <x:v>2017</x:v>
      </x:c>
      <x:c r="H62" s="53" t="str">
        <x:v>Issuance</x:v>
      </x:c>
      <x:c r="I62" s="53" t="str">
        <x:v>EF+B</x:v>
      </x:c>
      <x:c r="J62" s="53" t="n">
        <x:v>2</x:v>
      </x:c>
      <x:c r="K62" s="53" t="n">
        <x:v>0</x:v>
      </x:c>
      <x:c r="L62" s="53" t="n">
        <x:v>0</x:v>
      </x:c>
      <x:c r="M62" s="54" t="n">
        <x:v>5850.112963</x:v>
      </x:c>
      <x:c r="N62" s="54" t="n">
        <x:v>6608.575890369237</x:v>
      </x:c>
      <x:c r="O62" s="54" t="n">
        <x:v>3434.166793059081</x:v>
      </x:c>
      <x:c r="P62" s="54" t="n">
        <x:v>3174.4090973101556</x:v>
      </x:c>
      <x:c r="Q62" s="55" t="b">
        <x:v>0</x:v>
      </x:c>
      <x:c r="R62" s="56" t="str">
        <x:v>none</x:v>
      </x:c>
      <x:c r="S62" s="57" t="str">
        <x:v>GCAP estimated restatement; Position_Residency may include GCAP interpolation/extrapolation per documentation</x:v>
      </x:c>
      <x:c r="T62" s="57" t="str">
        <x:v>diagonal set to zero + within-sample row normalization</x:v>
      </x:c>
      <x:c r="U62" s="57" t="str">
        <x:v>GCAP Restated Bilateral External Portfolios v1.8</x:v>
      </x:c>
      <x:c r="V62" s="57" t="str">
        <x:v>IMF CPIS</x:v>
      </x:c>
      <x:c r="W62" s="58" t="str">
        <x:v>https://globalcapitalallocation.s3.us-east-2.amazonaws.com/Restated_Bilateral_External_Portfolios_ReadMe.pdf</x:v>
      </x:c>
      <x:c r="X62" s="59" t="n">
        <x:v>0.023948191896412726</x:v>
      </x:c>
      <x:c r="Y62" s="59" t="n">
        <x:v>0.023551623822032505</x:v>
      </x:c>
      <x:c r="Z62" s="59" t="n">
        <x:v>0.021340549356960455</x:v>
      </x:c>
      <x:c r="AA62" s="59" t="n">
        <x:v>0.027596146192571974</x:v>
      </x:c>
    </x:row>
    <x:row r="63">
      <x:c r="A63" s="53" t="str">
        <x:v>CN</x:v>
      </x:c>
      <x:c r="B63" s="53" t="str">
        <x:v>CHN</x:v>
      </x:c>
      <x:c r="C63" s="53" t="str">
        <x:v>China</x:v>
      </x:c>
      <x:c r="D63" s="53" t="str">
        <x:v>CH</x:v>
      </x:c>
      <x:c r="E63" s="53" t="str">
        <x:v>CHE</x:v>
      </x:c>
      <x:c r="F63" s="53" t="str">
        <x:v>Switzerland</x:v>
      </x:c>
      <x:c r="G63" s="53" t="n">
        <x:v>2017</x:v>
      </x:c>
      <x:c r="H63" s="53" t="str">
        <x:v>Issuance</x:v>
      </x:c>
      <x:c r="I63" s="53" t="str">
        <x:v>EF+B</x:v>
      </x:c>
      <x:c r="J63" s="53" t="n">
        <x:v>2</x:v>
      </x:c>
      <x:c r="K63" s="53" t="n">
        <x:v>0</x:v>
      </x:c>
      <x:c r="L63" s="53" t="n">
        <x:v>0</x:v>
      </x:c>
      <x:c r="M63" s="54" t="n">
        <x:v>5171.5178750000005</x:v>
      </x:c>
      <x:c r="N63" s="54" t="n">
        <x:v>6604.910682836157</x:v>
      </x:c>
      <x:c r="O63" s="54" t="n">
        <x:v>4145.605861762148</x:v>
      </x:c>
      <x:c r="P63" s="54" t="n">
        <x:v>2459.304821074009</x:v>
      </x:c>
      <x:c r="Q63" s="55" t="b">
        <x:v>0</x:v>
      </x:c>
      <x:c r="R63" s="56" t="str">
        <x:v>none</x:v>
      </x:c>
      <x:c r="S63" s="57" t="str">
        <x:v>GCAP estimated restatement; Position_Residency may include GCAP interpolation/extrapolation per documentation</x:v>
      </x:c>
      <x:c r="T63" s="57" t="str">
        <x:v>diagonal set to zero + within-sample row normalization</x:v>
      </x:c>
      <x:c r="U63" s="57" t="str">
        <x:v>GCAP Restated Bilateral External Portfolios v1.8</x:v>
      </x:c>
      <x:c r="V63" s="57" t="str">
        <x:v>IMF CPIS</x:v>
      </x:c>
      <x:c r="W63" s="58" t="str">
        <x:v>https://globalcapitalallocation.s3.us-east-2.amazonaws.com/Restated_Bilateral_External_Portfolios_ReadMe.pdf</x:v>
      </x:c>
      <x:c r="X63" s="59" t="n">
        <x:v>0.023934909898173096</x:v>
      </x:c>
      <x:c r="Y63" s="59" t="n">
        <x:v>0.020819707987050188</x:v>
      </x:c>
      <x:c r="Z63" s="59" t="n">
        <x:v>0.025761563674265513</x:v>
      </x:c>
      <x:c r="AA63" s="59" t="n">
        <x:v>0.021379517665811566</x:v>
      </x:c>
    </x:row>
    <x:row r="64">
      <x:c r="A64" s="53" t="str">
        <x:v>CN</x:v>
      </x:c>
      <x:c r="B64" s="53" t="str">
        <x:v>CHN</x:v>
      </x:c>
      <x:c r="C64" s="53" t="str">
        <x:v>China</x:v>
      </x:c>
      <x:c r="D64" s="53" t="str">
        <x:v>CN</x:v>
      </x:c>
      <x:c r="E64" s="53" t="str">
        <x:v>CHN</x:v>
      </x:c>
      <x:c r="F64" s="53" t="str">
        <x:v>China</x:v>
      </x:c>
      <x:c r="G64" s="53" t="n">
        <x:v>2017</x:v>
      </x:c>
      <x:c r="H64" s="53" t="str">
        <x:v>Issuance</x:v>
      </x:c>
      <x:c r="I64" s="53" t="str">
        <x:v>EF+B</x:v>
      </x:c>
      <x:c r="J64" s="53" t="n">
        <x:v>2</x:v>
      </x:c>
      <x:c r="K64" s="53" t="n">
        <x:v>0</x:v>
      </x:c>
      <x:c r="L64" s="53" t="n">
        <x:v>0</x:v>
      </x:c>
      <x:c r="M64" s="54" t="n">
        <x:v>0</x:v>
      </x:c>
      <x:c r="N64" s="54" t="n">
        <x:v>127513.0081530421</x:v>
      </x:c>
      <x:c r="O64" s="54" t="n">
        <x:v>79185.51235860206</x:v>
      </x:c>
      <x:c r="P64" s="54" t="n">
        <x:v>48327.49579444004</x:v>
      </x:c>
      <x:c r="Q64" s="55" t="b">
        <x:v>1</x:v>
      </x:c>
      <x:c r="R64" s="56" t="str">
        <x:v>none</x:v>
      </x:c>
      <x:c r="S64" s="57" t="str">
        <x:v>GCAP estimated restatement; Position_Residency may include GCAP interpolation/extrapolation per documentation</x:v>
      </x:c>
      <x:c r="T64" s="57" t="str">
        <x:v>EA issuer aggregation + diagonal set to zero + within-sample row normalization</x:v>
      </x:c>
      <x:c r="U64" s="57" t="str">
        <x:v>GCAP Restated Bilateral External Portfolios v1.8</x:v>
      </x:c>
      <x:c r="V64" s="57" t="str">
        <x:v>IMF CPIS</x:v>
      </x:c>
      <x:c r="W64" s="58" t="str">
        <x:v>https://globalcapitalallocation.s3.us-east-2.amazonaws.com/Restated_Bilateral_External_Portfolios_ReadMe.pdf</x:v>
      </x:c>
      <x:c r="X64" s="59" t="n">
        <x:v>0</x:v>
      </x:c>
      <x:c r="Y64" s="59" t="n">
        <x:v>0</x:v>
      </x:c>
      <x:c r="Z64" s="59" t="n">
        <x:v>0</x:v>
      </x:c>
      <x:c r="AA64" s="59" t="n">
        <x:v>0</x:v>
      </x:c>
    </x:row>
    <x:row r="65">
      <x:c r="A65" s="53" t="str">
        <x:v>CN</x:v>
      </x:c>
      <x:c r="B65" s="53" t="str">
        <x:v>CHN</x:v>
      </x:c>
      <x:c r="C65" s="53" t="str">
        <x:v>China</x:v>
      </x:c>
      <x:c r="D65" s="53" t="str">
        <x:v>EA</x:v>
      </x:c>
      <x:c r="E65" s="53" t="str">
        <x:v>EMU</x:v>
      </x:c>
      <x:c r="F65" s="53" t="str">
        <x:v>European Monetary Union</x:v>
      </x:c>
      <x:c r="G65" s="53" t="n">
        <x:v>2017</x:v>
      </x:c>
      <x:c r="H65" s="53" t="str">
        <x:v>Issuance</x:v>
      </x:c>
      <x:c r="I65" s="53" t="str">
        <x:v>EF+B</x:v>
      </x:c>
      <x:c r="J65" s="53" t="n">
        <x:v>38</x:v>
      </x:c>
      <x:c r="K65" s="53" t="n">
        <x:v>0</x:v>
      </x:c>
      <x:c r="L65" s="53" t="n">
        <x:v>0</x:v>
      </x:c>
      <x:c r="M65" s="54" t="n">
        <x:v>38024.88381720705</x:v>
      </x:c>
      <x:c r="N65" s="54" t="n">
        <x:v>40539.133808360486</x:v>
      </x:c>
      <x:c r="O65" s="54" t="n">
        <x:v>28654.09688794385</x:v>
      </x:c>
      <x:c r="P65" s="54" t="n">
        <x:v>11885.036920416635</x:v>
      </x:c>
      <x:c r="Q65" s="55" t="b">
        <x:v>0</x:v>
      </x:c>
      <x:c r="R65" s="56" t="str">
        <x:v>none</x:v>
      </x:c>
      <x:c r="S65" s="57" t="str">
        <x:v>GCAP estimated restatement; Position_Residency may include GCAP interpolation/extrapolation per documentation</x:v>
      </x:c>
      <x:c r="T65" s="57" t="str">
        <x:v>EA issuer aggregation + diagonal set to zero + within-sample row normalization</x:v>
      </x:c>
      <x:c r="U65" s="57" t="str">
        <x:v>GCAP Restated Bilateral External Portfolios v1.8</x:v>
      </x:c>
      <x:c r="V65" s="57" t="str">
        <x:v>IMF CPIS</x:v>
      </x:c>
      <x:c r="W65" s="58" t="str">
        <x:v>https://globalcapitalallocation.s3.us-east-2.amazonaws.com/Restated_Bilateral_External_Portfolios_ReadMe.pdf</x:v>
      </x:c>
      <x:c r="X65" s="59" t="n">
        <x:v>0.1469059252496118</x:v>
      </x:c>
      <x:c r="Y65" s="59" t="n">
        <x:v>0.15308213109787633</x:v>
      </x:c>
      <x:c r="Z65" s="59" t="n">
        <x:v>0.17806187228651962</x:v>
      </x:c>
      <x:c r="AA65" s="59" t="n">
        <x:v>0.10332039957856996</x:v>
      </x:c>
    </x:row>
    <x:row r="66">
      <x:c r="A66" s="53" t="str">
        <x:v>CN</x:v>
      </x:c>
      <x:c r="B66" s="53" t="str">
        <x:v>CHN</x:v>
      </x:c>
      <x:c r="C66" s="53" t="str">
        <x:v>China</x:v>
      </x:c>
      <x:c r="D66" s="53" t="str">
        <x:v>UK</x:v>
      </x:c>
      <x:c r="E66" s="53" t="str">
        <x:v>GBR</x:v>
      </x:c>
      <x:c r="F66" s="53" t="str">
        <x:v>United Kingdom</x:v>
      </x:c>
      <x:c r="G66" s="53" t="n">
        <x:v>2017</x:v>
      </x:c>
      <x:c r="H66" s="53" t="str">
        <x:v>Issuance</x:v>
      </x:c>
      <x:c r="I66" s="53" t="str">
        <x:v>EF+B</x:v>
      </x:c>
      <x:c r="J66" s="53" t="n">
        <x:v>2</x:v>
      </x:c>
      <x:c r="K66" s="53" t="n">
        <x:v>0</x:v>
      </x:c>
      <x:c r="L66" s="53" t="n">
        <x:v>0</x:v>
      </x:c>
      <x:c r="M66" s="54" t="n">
        <x:v>17608.86781</x:v>
      </x:c>
      <x:c r="N66" s="54" t="n">
        <x:v>28320.761186925025</x:v>
      </x:c>
      <x:c r="O66" s="54" t="n">
        <x:v>18918.20213188357</x:v>
      </x:c>
      <x:c r="P66" s="54" t="n">
        <x:v>9402.559055041456</x:v>
      </x:c>
      <x:c r="Q66" s="55" t="b">
        <x:v>0</x:v>
      </x:c>
      <x:c r="R66" s="56" t="str">
        <x:v>none</x:v>
      </x:c>
      <x:c r="S66" s="57" t="str">
        <x:v>GCAP estimated restatement; Position_Residency may include GCAP interpolation/extrapolation per documentation</x:v>
      </x:c>
      <x:c r="T66" s="57" t="str">
        <x:v>diagonal set to zero + within-sample row normalization</x:v>
      </x:c>
      <x:c r="U66" s="57" t="str">
        <x:v>GCAP Restated Bilateral External Portfolios v1.8</x:v>
      </x:c>
      <x:c r="V66" s="57" t="str">
        <x:v>IMF CPIS</x:v>
      </x:c>
      <x:c r="W66" s="58" t="str">
        <x:v>https://globalcapitalallocation.s3.us-east-2.amazonaws.com/Restated_Bilateral_External_Portfolios_ReadMe.pdf</x:v>
      </x:c>
      <x:c r="X66" s="59" t="n">
        <x:v>0.1026289226012147</x:v>
      </x:c>
      <x:c r="Y66" s="59" t="n">
        <x:v>0.07089049958795084</x:v>
      </x:c>
      <x:c r="Z66" s="59" t="n">
        <x:v>0.11756121664107833</x:v>
      </x:c>
      <x:c r="AA66" s="59" t="n">
        <x:v>0.08173943128095297</x:v>
      </x:c>
    </x:row>
    <x:row r="67">
      <x:c r="A67" s="53" t="str">
        <x:v>CN</x:v>
      </x:c>
      <x:c r="B67" s="53" t="str">
        <x:v>CHN</x:v>
      </x:c>
      <x:c r="C67" s="53" t="str">
        <x:v>China</x:v>
      </x:c>
      <x:c r="D67" s="53" t="str">
        <x:v>JP</x:v>
      </x:c>
      <x:c r="E67" s="53" t="str">
        <x:v>JPN</x:v>
      </x:c>
      <x:c r="F67" s="53" t="str">
        <x:v>Japan</x:v>
      </x:c>
      <x:c r="G67" s="53" t="n">
        <x:v>2017</x:v>
      </x:c>
      <x:c r="H67" s="53" t="str">
        <x:v>Issuance</x:v>
      </x:c>
      <x:c r="I67" s="53" t="str">
        <x:v>EF+B</x:v>
      </x:c>
      <x:c r="J67" s="53" t="n">
        <x:v>2</x:v>
      </x:c>
      <x:c r="K67" s="53" t="n">
        <x:v>0</x:v>
      </x:c>
      <x:c r="L67" s="53" t="n">
        <x:v>0</x:v>
      </x:c>
      <x:c r="M67" s="54" t="n">
        <x:v>12972.4058</x:v>
      </x:c>
      <x:c r="N67" s="54" t="n">
        <x:v>14007.175609896622</x:v>
      </x:c>
      <x:c r="O67" s="54" t="n">
        <x:v>9451.163168279185</x:v>
      </x:c>
      <x:c r="P67" s="54" t="n">
        <x:v>4556.012441617437</x:v>
      </x:c>
      <x:c r="Q67" s="55" t="b">
        <x:v>0</x:v>
      </x:c>
      <x:c r="R67" s="56" t="str">
        <x:v>none</x:v>
      </x:c>
      <x:c r="S67" s="57" t="str">
        <x:v>GCAP estimated restatement; Position_Residency may include GCAP interpolation/extrapolation per documentation</x:v>
      </x:c>
      <x:c r="T67" s="57" t="str">
        <x:v>diagonal set to zero + within-sample row normalization</x:v>
      </x:c>
      <x:c r="U67" s="57" t="str">
        <x:v>GCAP Restated Bilateral External Portfolios v1.8</x:v>
      </x:c>
      <x:c r="V67" s="57" t="str">
        <x:v>IMF CPIS</x:v>
      </x:c>
      <x:c r="W67" s="58" t="str">
        <x:v>https://globalcapitalallocation.s3.us-east-2.amazonaws.com/Restated_Bilateral_External_Portfolios_ReadMe.pdf</x:v>
      </x:c>
      <x:c r="X67" s="59" t="n">
        <x:v>0.05075927627938825</x:v>
      </x:c>
      <x:c r="Y67" s="59" t="n">
        <x:v>0.052224841366426904</x:v>
      </x:c>
      <x:c r="Z67" s="59" t="n">
        <x:v>0.05873128075229129</x:v>
      </x:c>
      <x:c r="AA67" s="59" t="n">
        <x:v>0.03960686273882842</x:v>
      </x:c>
    </x:row>
    <x:row r="68">
      <x:c r="A68" s="53" t="str">
        <x:v>CN</x:v>
      </x:c>
      <x:c r="B68" s="53" t="str">
        <x:v>CHN</x:v>
      </x:c>
      <x:c r="C68" s="53" t="str">
        <x:v>China</x:v>
      </x:c>
      <x:c r="D68" s="53" t="str">
        <x:v>KR</x:v>
      </x:c>
      <x:c r="E68" s="53" t="str">
        <x:v>KOR</x:v>
      </x:c>
      <x:c r="F68" s="53" t="str">
        <x:v>Korea, Republic of</x:v>
      </x:c>
      <x:c r="G68" s="53" t="n">
        <x:v>2017</x:v>
      </x:c>
      <x:c r="H68" s="53" t="str">
        <x:v>Issuance</x:v>
      </x:c>
      <x:c r="I68" s="53" t="str">
        <x:v>EF+B</x:v>
      </x:c>
      <x:c r="J68" s="53" t="n">
        <x:v>2</x:v>
      </x:c>
      <x:c r="K68" s="53" t="n">
        <x:v>0</x:v>
      </x:c>
      <x:c r="L68" s="53" t="n">
        <x:v>0</x:v>
      </x:c>
      <x:c r="M68" s="54" t="n">
        <x:v>4865.732017</x:v>
      </x:c>
      <x:c r="N68" s="54" t="n">
        <x:v>5071.329186136553</x:v>
      </x:c>
      <x:c r="O68" s="54" t="n">
        <x:v>2122.7912412981486</x:v>
      </x:c>
      <x:c r="P68" s="54" t="n">
        <x:v>2948.5379448384047</x:v>
      </x:c>
      <x:c r="Q68" s="55" t="b">
        <x:v>0</x:v>
      </x:c>
      <x:c r="R68" s="56" t="str">
        <x:v>none</x:v>
      </x:c>
      <x:c r="S68" s="57" t="str">
        <x:v>GCAP estimated restatement; Position_Residency may include GCAP interpolation/extrapolation per documentation</x:v>
      </x:c>
      <x:c r="T68" s="57" t="str">
        <x:v>diagonal set to zero + within-sample row normalization</x:v>
      </x:c>
      <x:c r="U68" s="57" t="str">
        <x:v>GCAP Restated Bilateral External Portfolios v1.8</x:v>
      </x:c>
      <x:c r="V68" s="57" t="str">
        <x:v>IMF CPIS</x:v>
      </x:c>
      <x:c r="W68" s="58" t="str">
        <x:v>https://globalcapitalallocation.s3.us-east-2.amazonaws.com/Restated_Bilateral_External_Portfolios_ReadMe.pdf</x:v>
      </x:c>
      <x:c r="X68" s="59" t="n">
        <x:v>0.018377509244687073</x:v>
      </x:c>
      <x:c r="Y68" s="59" t="n">
        <x:v>0.01958866278445972</x:v>
      </x:c>
      <x:c r="Z68" s="59" t="n">
        <x:v>0.013191418468959359</x:v>
      </x:c>
      <x:c r="AA68" s="59" t="n">
        <x:v>0.025632576547570375</x:v>
      </x:c>
    </x:row>
    <x:row r="69">
      <x:c r="A69" s="53" t="str">
        <x:v>CN</x:v>
      </x:c>
      <x:c r="B69" s="53" t="str">
        <x:v>CHN</x:v>
      </x:c>
      <x:c r="C69" s="53" t="str">
        <x:v>China</x:v>
      </x:c>
      <x:c r="D69" s="53" t="str">
        <x:v>NO</x:v>
      </x:c>
      <x:c r="E69" s="53" t="str">
        <x:v>NOR</x:v>
      </x:c>
      <x:c r="F69" s="53" t="str">
        <x:v>Norway</x:v>
      </x:c>
      <x:c r="G69" s="53" t="n">
        <x:v>2017</x:v>
      </x:c>
      <x:c r="H69" s="53" t="str">
        <x:v>Issuance</x:v>
      </x:c>
      <x:c r="I69" s="53" t="str">
        <x:v>EF+B</x:v>
      </x:c>
      <x:c r="J69" s="53" t="n">
        <x:v>2</x:v>
      </x:c>
      <x:c r="K69" s="53" t="n">
        <x:v>0</x:v>
      </x:c>
      <x:c r="L69" s="53" t="n">
        <x:v>0</x:v>
      </x:c>
      <x:c r="M69" s="54" t="n">
        <x:v>396.479255</x:v>
      </x:c>
      <x:c r="N69" s="54" t="n">
        <x:v>439.1734619382059</x:v>
      </x:c>
      <x:c r="O69" s="54" t="n">
        <x:v>346.1882451756846</x:v>
      </x:c>
      <x:c r="P69" s="54" t="n">
        <x:v>92.9852167625213</x:v>
      </x:c>
      <x:c r="Q69" s="55" t="b">
        <x:v>0</x:v>
      </x:c>
      <x:c r="R69" s="56" t="str">
        <x:v>none</x:v>
      </x:c>
      <x:c r="S69" s="57" t="str">
        <x:v>GCAP estimated restatement; Position_Residency may include GCAP interpolation/extrapolation per documentation</x:v>
      </x:c>
      <x:c r="T69" s="57" t="str">
        <x:v>diagonal set to zero + within-sample row normalization</x:v>
      </x:c>
      <x:c r="U69" s="57" t="str">
        <x:v>GCAP Restated Bilateral External Portfolios v1.8</x:v>
      </x:c>
      <x:c r="V69" s="57" t="str">
        <x:v>IMF CPIS</x:v>
      </x:c>
      <x:c r="W69" s="58" t="str">
        <x:v>https://globalcapitalallocation.s3.us-east-2.amazonaws.com/Restated_Bilateral_External_Portfolios_ReadMe.pdf</x:v>
      </x:c>
      <x:c r="X69" s="59" t="n">
        <x:v>0.0015914790897135983</x:v>
      </x:c>
      <x:c r="Y69" s="59" t="n">
        <x:v>0.001596162386274882</x:v>
      </x:c>
      <x:c r="Z69" s="59" t="n">
        <x:v>0.0021512779600289275</x:v>
      </x:c>
      <x:c r="AA69" s="59" t="n">
        <x:v>0.0008083500131413017</x:v>
      </x:c>
    </x:row>
    <x:row r="70">
      <x:c r="A70" s="53" t="str">
        <x:v>CN</x:v>
      </x:c>
      <x:c r="B70" s="53" t="str">
        <x:v>CHN</x:v>
      </x:c>
      <x:c r="C70" s="53" t="str">
        <x:v>China</x:v>
      </x:c>
      <x:c r="D70" s="53" t="str">
        <x:v>SG</x:v>
      </x:c>
      <x:c r="E70" s="53" t="str">
        <x:v>SGP</x:v>
      </x:c>
      <x:c r="F70" s="53" t="str">
        <x:v>Singapore</x:v>
      </x:c>
      <x:c r="G70" s="53" t="n">
        <x:v>2017</x:v>
      </x:c>
      <x:c r="H70" s="53" t="str">
        <x:v>Issuance</x:v>
      </x:c>
      <x:c r="I70" s="53" t="str">
        <x:v>EF+B</x:v>
      </x:c>
      <x:c r="J70" s="53" t="n">
        <x:v>2</x:v>
      </x:c>
      <x:c r="K70" s="53" t="n">
        <x:v>0</x:v>
      </x:c>
      <x:c r="L70" s="53" t="n">
        <x:v>0</x:v>
      </x:c>
      <x:c r="M70" s="54" t="n">
        <x:v>6159.261233</x:v>
      </x:c>
      <x:c r="N70" s="54" t="n">
        <x:v>7704.91784164307</x:v>
      </x:c>
      <x:c r="O70" s="54" t="n">
        <x:v>2302.3037919738017</x:v>
      </x:c>
      <x:c r="P70" s="54" t="n">
        <x:v>5402.614049669268</x:v>
      </x:c>
      <x:c r="Q70" s="55" t="b">
        <x:v>0</x:v>
      </x:c>
      <x:c r="R70" s="56" t="str">
        <x:v>none</x:v>
      </x:c>
      <x:c r="S70" s="57" t="str">
        <x:v>GCAP estimated restatement; Position_Residency may include GCAP interpolation/extrapolation per documentation</x:v>
      </x:c>
      <x:c r="T70" s="57" t="str">
        <x:v>diagonal set to zero + within-sample row normalization</x:v>
      </x:c>
      <x:c r="U70" s="57" t="str">
        <x:v>GCAP Restated Bilateral External Portfolios v1.8</x:v>
      </x:c>
      <x:c r="V70" s="57" t="str">
        <x:v>IMF CPIS</x:v>
      </x:c>
      <x:c r="W70" s="58" t="str">
        <x:v>https://globalcapitalallocation.s3.us-east-2.amazonaws.com/Restated_Bilateral_External_Portfolios_ReadMe.pdf</x:v>
      </x:c>
      <x:c r="X70" s="59" t="n">
        <x:v>0.027921121596963742</x:v>
      </x:c>
      <x:c r="Y70" s="59" t="n">
        <x:v>0.024796205560252207</x:v>
      </x:c>
      <x:c r="Z70" s="59" t="n">
        <x:v>0.014306942751481222</x:v>
      </x:c>
      <x:c r="AA70" s="59" t="n">
        <x:v>0.0469666393229056</x:v>
      </x:c>
    </x:row>
    <x:row r="71">
      <x:c r="A71" s="53" t="str">
        <x:v>CN</x:v>
      </x:c>
      <x:c r="B71" s="53" t="str">
        <x:v>CHN</x:v>
      </x:c>
      <x:c r="C71" s="53" t="str">
        <x:v>China</x:v>
      </x:c>
      <x:c r="D71" s="53" t="str">
        <x:v>TR</x:v>
      </x:c>
      <x:c r="E71" s="53" t="str">
        <x:v>TUR</x:v>
      </x:c>
      <x:c r="F71" s="53" t="str">
        <x:v>Turkey</x:v>
      </x:c>
      <x:c r="G71" s="53" t="n">
        <x:v>2017</x:v>
      </x:c>
      <x:c r="H71" s="53" t="str">
        <x:v>Issuance</x:v>
      </x:c>
      <x:c r="I71" s="53" t="str">
        <x:v>EF+B</x:v>
      </x:c>
      <x:c r="J71" s="53" t="n">
        <x:v>2</x:v>
      </x:c>
      <x:c r="K71" s="53" t="n">
        <x:v>0</x:v>
      </x:c>
      <x:c r="L71" s="53" t="n">
        <x:v>0</x:v>
      </x:c>
      <x:c r="M71" s="54" t="n">
        <x:v>408.129284</x:v>
      </x:c>
      <x:c r="N71" s="54" t="n">
        <x:v>383.7151084174458</x:v>
      </x:c>
      <x:c r="O71" s="54" t="n">
        <x:v>137.57485192316213</x:v>
      </x:c>
      <x:c r="P71" s="54" t="n">
        <x:v>246.14025649428368</x:v>
      </x:c>
      <x:c r="Q71" s="55" t="b">
        <x:v>0</x:v>
      </x:c>
      <x:c r="R71" s="56" t="str">
        <x:v>none</x:v>
      </x:c>
      <x:c r="S71" s="57" t="str">
        <x:v>GCAP estimated restatement; Position_Residency may include GCAP interpolation/extrapolation per documentation</x:v>
      </x:c>
      <x:c r="T71" s="57" t="str">
        <x:v>diagonal set to zero + within-sample row normalization</x:v>
      </x:c>
      <x:c r="U71" s="57" t="str">
        <x:v>GCAP Restated Bilateral External Portfolios v1.8</x:v>
      </x:c>
      <x:c r="V71" s="57" t="str">
        <x:v>IMF CPIS</x:v>
      </x:c>
      <x:c r="W71" s="58" t="str">
        <x:v>https://globalcapitalallocation.s3.us-east-2.amazonaws.com/Restated_Bilateral_External_Portfolios_ReadMe.pdf</x:v>
      </x:c>
      <x:c r="X71" s="59" t="n">
        <x:v>0.0013905088179929153</x:v>
      </x:c>
      <x:c r="Y71" s="59" t="n">
        <x:v>0.0016430635490830383</x:v>
      </x:c>
      <x:c r="Z71" s="59" t="n">
        <x:v>0.0008549156446555443</x:v>
      </x:c>
      <x:c r="AA71" s="59" t="n">
        <x:v>0.0021397754019319938</x:v>
      </x:c>
    </x:row>
    <x:row r="72">
      <x:c r="A72" s="53" t="str">
        <x:v>CN</x:v>
      </x:c>
      <x:c r="B72" s="53" t="str">
        <x:v>CHN</x:v>
      </x:c>
      <x:c r="C72" s="53" t="str">
        <x:v>China</x:v>
      </x:c>
      <x:c r="D72" s="53" t="str">
        <x:v>US</x:v>
      </x:c>
      <x:c r="E72" s="53" t="str">
        <x:v>USA</x:v>
      </x:c>
      <x:c r="F72" s="53" t="str">
        <x:v>United States</x:v>
      </x:c>
      <x:c r="G72" s="53" t="n">
        <x:v>2017</x:v>
      </x:c>
      <x:c r="H72" s="53" t="str">
        <x:v>Issuance</x:v>
      </x:c>
      <x:c r="I72" s="53" t="str">
        <x:v>EF+B</x:v>
      </x:c>
      <x:c r="J72" s="53" t="n">
        <x:v>2</x:v>
      </x:c>
      <x:c r="K72" s="53" t="n">
        <x:v>0</x:v>
      </x:c>
      <x:c r="L72" s="53" t="n">
        <x:v>0</x:v>
      </x:c>
      <x:c r="M72" s="54" t="n">
        <x:v>145249.14319</x:v>
      </x:c>
      <x:c r="N72" s="54" t="n">
        <x:v>152099.05773957202</x:v>
      </x:c>
      <x:c r="O72" s="54" t="n">
        <x:v>84302.80724039242</x:v>
      </x:c>
      <x:c r="P72" s="54" t="n">
        <x:v>67796.25049917959</x:v>
      </x:c>
      <x:c r="Q72" s="55" t="b">
        <x:v>0</x:v>
      </x:c>
      <x:c r="R72" s="56" t="str">
        <x:v>none</x:v>
      </x:c>
      <x:c r="S72" s="57" t="str">
        <x:v>GCAP estimated restatement; Position_Residency may include GCAP interpolation/extrapolation per documentation</x:v>
      </x:c>
      <x:c r="T72" s="57" t="str">
        <x:v>diagonal set to zero + within-sample row normalization</x:v>
      </x:c>
      <x:c r="U72" s="57" t="str">
        <x:v>GCAP Restated Bilateral External Portfolios v1.8</x:v>
      </x:c>
      <x:c r="V72" s="57" t="str">
        <x:v>IMF CPIS</x:v>
      </x:c>
      <x:c r="W72" s="58" t="str">
        <x:v>https://globalcapitalallocation.s3.us-east-2.amazonaws.com/Restated_Bilateral_External_Portfolios_ReadMe.pdf</x:v>
      </x:c>
      <x:c r="X72" s="59" t="n">
        <x:v>0.5511773614220106</x:v>
      </x:c>
      <x:c r="Y72" s="59" t="n">
        <x:v>0.5847499360301522</x:v>
      </x:c>
      <x:c r="Z72" s="59" t="n">
        <x:v>0.5238732790964258</x:v>
      </x:c>
      <x:c r="AA72" s="59" t="n">
        <x:v>0.589374331641412</x:v>
      </x:c>
    </x:row>
    <x:row r="73">
      <x:c r="A73" s="53" t="str">
        <x:v>CN</x:v>
      </x:c>
      <x:c r="B73" s="53" t="str">
        <x:v>CHN</x:v>
      </x:c>
      <x:c r="C73" s="53" t="str">
        <x:v>China</x:v>
      </x:c>
      <x:c r="D73" s="53" t="str">
        <x:v>ZA</x:v>
      </x:c>
      <x:c r="E73" s="53" t="str">
        <x:v>ZAF</x:v>
      </x:c>
      <x:c r="F73" s="53" t="str">
        <x:v>South Africa</x:v>
      </x:c>
      <x:c r="G73" s="53" t="n">
        <x:v>2017</x:v>
      </x:c>
      <x:c r="H73" s="53" t="str">
        <x:v>Issuance</x:v>
      </x:c>
      <x:c r="I73" s="53" t="str">
        <x:v>EF+B</x:v>
      </x:c>
      <x:c r="J73" s="53" t="n">
        <x:v>2</x:v>
      </x:c>
      <x:c r="K73" s="53" t="n">
        <x:v>0</x:v>
      </x:c>
      <x:c r="L73" s="53" t="n">
        <x:v>0</x:v>
      </x:c>
      <x:c r="M73" s="54" t="n">
        <x:v>594.887308</x:v>
      </x:c>
      <x:c r="N73" s="54" t="n">
        <x:v>728.1336370797819</x:v>
      </x:c>
      <x:c r="O73" s="54" t="n">
        <x:v>397.2168452830977</x:v>
      </x:c>
      <x:c r="P73" s="54" t="n">
        <x:v>330.91679179668427</x:v>
      </x:c>
      <x:c r="Q73" s="55" t="b">
        <x:v>0</x:v>
      </x:c>
      <x:c r="R73" s="56" t="str">
        <x:v>none</x:v>
      </x:c>
      <x:c r="S73" s="57" t="str">
        <x:v>GCAP estimated restatement; Position_Residency may include GCAP interpolation/extrapolation per documentation</x:v>
      </x:c>
      <x:c r="T73" s="57" t="str">
        <x:v>diagonal set to zero + within-sample row normalization</x:v>
      </x:c>
      <x:c r="U73" s="57" t="str">
        <x:v>GCAP Restated Bilateral External Portfolios v1.8</x:v>
      </x:c>
      <x:c r="V73" s="57" t="str">
        <x:v>IMF CPIS</x:v>
      </x:c>
      <x:c r="W73" s="58" t="str">
        <x:v>https://globalcapitalallocation.s3.us-east-2.amazonaws.com/Restated_Bilateral_External_Portfolios_ReadMe.pdf</x:v>
      </x:c>
      <x:c r="X73" s="59" t="n">
        <x:v>0.0026386144846170913</x:v>
      </x:c>
      <x:c r="Y73" s="59" t="n">
        <x:v>0.0023949216336726638</x:v>
      </x:c>
      <x:c r="Z73" s="59" t="n">
        <x:v>0.0024683791449247286</x:v>
      </x:c>
      <x:c r="AA73" s="59" t="n">
        <x:v>0.0028767647407942003</x:v>
      </x:c>
    </x:row>
    <x:row r="74">
      <x:c r="A74" s="53" t="str">
        <x:v>EA</x:v>
      </x:c>
      <x:c r="B74" s="53" t="str">
        <x:v>EMU</x:v>
      </x:c>
      <x:c r="C74" s="53" t="str">
        <x:v>European Monetary Union</x:v>
      </x:c>
      <x:c r="D74" s="53" t="str">
        <x:v>AU</x:v>
      </x:c>
      <x:c r="E74" s="53" t="str">
        <x:v>AUS</x:v>
      </x:c>
      <x:c r="F74" s="53" t="str">
        <x:v>Australia</x:v>
      </x:c>
      <x:c r="G74" s="53" t="n">
        <x:v>2017</x:v>
      </x:c>
      <x:c r="H74" s="53" t="str">
        <x:v>Fund Holdings</x:v>
      </x:c>
      <x:c r="I74" s="53" t="str">
        <x:v>EF+B</x:v>
      </x:c>
      <x:c r="J74" s="53" t="n">
        <x:v>2</x:v>
      </x:c>
      <x:c r="K74" s="53" t="n">
        <x:v>0</x:v>
      </x:c>
      <x:c r="L74" s="53" t="n">
        <x:v>0</x:v>
      </x:c>
      <x:c r="M74" s="54" t="n">
        <x:v>234084.77507423356</x:v>
      </x:c>
      <x:c r="N74" s="54" t="n">
        <x:v>253167.50632809917</x:v>
      </x:c>
      <x:c r="O74" s="54" t="n">
        <x:v>68021.93225647509</x:v>
      </x:c>
      <x:c r="P74" s="54" t="n">
        <x:v>185145.57407162408</x:v>
      </x:c>
      <x:c r="Q74" s="55" t="b">
        <x:v>0</x:v>
      </x:c>
      <x:c r="R74" s="56" t="str">
        <x:v>none</x:v>
      </x:c>
      <x:c r="S74" s="57" t="str">
        <x:v>GCAP estimated restatement; Position_Residency may include GCAP interpolation/extrapolation per documentation</x:v>
      </x:c>
      <x:c r="T74" s="57" t="str">
        <x:v>diagonal set to zero + within-sample row normalization</x:v>
      </x:c>
      <x:c r="U74" s="57" t="str">
        <x:v>GCAP Restated Bilateral External Portfolios v1.8</x:v>
      </x:c>
      <x:c r="V74" s="57" t="str">
        <x:v>IMF CPIS</x:v>
      </x:c>
      <x:c r="W74" s="58" t="str">
        <x:v>https://globalcapitalallocation.s3.us-east-2.amazonaws.com/Restated_Bilateral_External_Portfolios_ReadMe.pdf</x:v>
      </x:c>
      <x:c r="X74" s="59" t="n">
        <x:v>0.03276863768472311</x:v>
      </x:c>
      <x:c r="Y74" s="59" t="n">
        <x:v>0.03141580829608948</x:v>
      </x:c>
      <x:c r="Z74" s="59" t="n">
        <x:v>0.019031107737513625</x:v>
      </x:c>
      <x:c r="AA74" s="59" t="n">
        <x:v>0.04459556340458308</x:v>
      </x:c>
    </x:row>
    <x:row r="75">
      <x:c r="A75" s="53" t="str">
        <x:v>EA</x:v>
      </x:c>
      <x:c r="B75" s="53" t="str">
        <x:v>EMU</x:v>
      </x:c>
      <x:c r="C75" s="53" t="str">
        <x:v>European Monetary Union</x:v>
      </x:c>
      <x:c r="D75" s="53" t="str">
        <x:v>BR</x:v>
      </x:c>
      <x:c r="E75" s="53" t="str">
        <x:v>BRA</x:v>
      </x:c>
      <x:c r="F75" s="53" t="str">
        <x:v>Brazil</x:v>
      </x:c>
      <x:c r="G75" s="53" t="n">
        <x:v>2017</x:v>
      </x:c>
      <x:c r="H75" s="53" t="str">
        <x:v>Fund Holdings</x:v>
      </x:c>
      <x:c r="I75" s="53" t="str">
        <x:v>EF+B</x:v>
      </x:c>
      <x:c r="J75" s="53" t="n">
        <x:v>2</x:v>
      </x:c>
      <x:c r="K75" s="53" t="n">
        <x:v>0</x:v>
      </x:c>
      <x:c r="L75" s="53" t="n">
        <x:v>0</x:v>
      </x:c>
      <x:c r="M75" s="54" t="n">
        <x:v>101240.52047177871</x:v>
      </x:c>
      <x:c r="N75" s="54" t="n">
        <x:v>108501.60095156005</x:v>
      </x:c>
      <x:c r="O75" s="54" t="n">
        <x:v>45891.88552151772</x:v>
      </x:c>
      <x:c r="P75" s="54" t="n">
        <x:v>62609.715430042335</x:v>
      </x:c>
      <x:c r="Q75" s="55" t="b">
        <x:v>0</x:v>
      </x:c>
      <x:c r="R75" s="56" t="str">
        <x:v>none</x:v>
      </x:c>
      <x:c r="S75" s="57" t="str">
        <x:v>GCAP estimated restatement; Position_Residency may include GCAP interpolation/extrapolation per documentation</x:v>
      </x:c>
      <x:c r="T75" s="57" t="str">
        <x:v>diagonal set to zero + within-sample row normalization</x:v>
      </x:c>
      <x:c r="U75" s="57" t="str">
        <x:v>GCAP Restated Bilateral External Portfolios v1.8</x:v>
      </x:c>
      <x:c r="V75" s="57" t="str">
        <x:v>IMF CPIS</x:v>
      </x:c>
      <x:c r="W75" s="58" t="str">
        <x:v>https://globalcapitalallocation.s3.us-east-2.amazonaws.com/Restated_Bilateral_External_Portfolios_ReadMe.pdf</x:v>
      </x:c>
      <x:c r="X75" s="59" t="n">
        <x:v>0.014043862505744712</x:v>
      </x:c>
      <x:c r="Y75" s="59" t="n">
        <x:v>0.013587183454921825</x:v>
      </x:c>
      <x:c r="Z75" s="59" t="n">
        <x:v>0.01283958553756767</x:v>
      </x:c>
      <x:c r="AA75" s="59" t="n">
        <x:v>0.015080649635854752</x:v>
      </x:c>
    </x:row>
    <x:row r="76">
      <x:c r="A76" s="53" t="str">
        <x:v>EA</x:v>
      </x:c>
      <x:c r="B76" s="53" t="str">
        <x:v>EMU</x:v>
      </x:c>
      <x:c r="C76" s="53" t="str">
        <x:v>European Monetary Union</x:v>
      </x:c>
      <x:c r="D76" s="53" t="str">
        <x:v>CA</x:v>
      </x:c>
      <x:c r="E76" s="53" t="str">
        <x:v>CAN</x:v>
      </x:c>
      <x:c r="F76" s="53" t="str">
        <x:v>Canada</x:v>
      </x:c>
      <x:c r="G76" s="53" t="n">
        <x:v>2017</x:v>
      </x:c>
      <x:c r="H76" s="53" t="str">
        <x:v>Fund Holdings</x:v>
      </x:c>
      <x:c r="I76" s="53" t="str">
        <x:v>EF+B</x:v>
      </x:c>
      <x:c r="J76" s="53" t="n">
        <x:v>2</x:v>
      </x:c>
      <x:c r="K76" s="53" t="n">
        <x:v>0</x:v>
      </x:c>
      <x:c r="L76" s="53" t="n">
        <x:v>0</x:v>
      </x:c>
      <x:c r="M76" s="54" t="n">
        <x:v>282770.99538824416</x:v>
      </x:c>
      <x:c r="N76" s="54" t="n">
        <x:v>294049.09368911374</x:v>
      </x:c>
      <x:c r="O76" s="54" t="n">
        <x:v>96830.64172098298</x:v>
      </x:c>
      <x:c r="P76" s="54" t="n">
        <x:v>197218.45196813077</x:v>
      </x:c>
      <x:c r="Q76" s="55" t="b">
        <x:v>0</x:v>
      </x:c>
      <x:c r="R76" s="56" t="str">
        <x:v>none</x:v>
      </x:c>
      <x:c r="S76" s="57" t="str">
        <x:v>GCAP estimated restatement; Position_Residency may include GCAP interpolation/extrapolation per documentation</x:v>
      </x:c>
      <x:c r="T76" s="57" t="str">
        <x:v>diagonal set to zero + within-sample row normalization</x:v>
      </x:c>
      <x:c r="U76" s="57" t="str">
        <x:v>GCAP Restated Bilateral External Portfolios v1.8</x:v>
      </x:c>
      <x:c r="V76" s="57" t="str">
        <x:v>IMF CPIS</x:v>
      </x:c>
      <x:c r="W76" s="58" t="str">
        <x:v>https://globalcapitalallocation.s3.us-east-2.amazonaws.com/Restated_Bilateral_External_Portfolios_ReadMe.pdf</x:v>
      </x:c>
      <x:c r="X76" s="59" t="n">
        <x:v>0.03806013003948568</x:v>
      </x:c>
      <x:c r="Y76" s="59" t="n">
        <x:v>0.03794983838651758</x:v>
      </x:c>
      <x:c r="Z76" s="59" t="n">
        <x:v>0.027091179473355684</x:v>
      </x:c>
      <x:c r="AA76" s="59" t="n">
        <x:v>0.047503528093499565</x:v>
      </x:c>
    </x:row>
    <x:row r="77">
      <x:c r="A77" s="53" t="str">
        <x:v>EA</x:v>
      </x:c>
      <x:c r="B77" s="53" t="str">
        <x:v>EMU</x:v>
      </x:c>
      <x:c r="C77" s="53" t="str">
        <x:v>European Monetary Union</x:v>
      </x:c>
      <x:c r="D77" s="53" t="str">
        <x:v>CH</x:v>
      </x:c>
      <x:c r="E77" s="53" t="str">
        <x:v>CHE</x:v>
      </x:c>
      <x:c r="F77" s="53" t="str">
        <x:v>Switzerland</x:v>
      </x:c>
      <x:c r="G77" s="53" t="n">
        <x:v>2017</x:v>
      </x:c>
      <x:c r="H77" s="53" t="str">
        <x:v>Fund Holdings</x:v>
      </x:c>
      <x:c r="I77" s="53" t="str">
        <x:v>EF+B</x:v>
      </x:c>
      <x:c r="J77" s="53" t="n">
        <x:v>2</x:v>
      </x:c>
      <x:c r="K77" s="53" t="n">
        <x:v>0</x:v>
      </x:c>
      <x:c r="L77" s="53" t="n">
        <x:v>0</x:v>
      </x:c>
      <x:c r="M77" s="54" t="n">
        <x:v>304705.2329670917</x:v>
      </x:c>
      <x:c r="N77" s="54" t="n">
        <x:v>387865.87266661786</x:v>
      </x:c>
      <x:c r="O77" s="54" t="n">
        <x:v>256347.86061525348</x:v>
      </x:c>
      <x:c r="P77" s="54" t="n">
        <x:v>131518.01205136435</x:v>
      </x:c>
      <x:c r="Q77" s="55" t="b">
        <x:v>0</x:v>
      </x:c>
      <x:c r="R77" s="56" t="str">
        <x:v>none</x:v>
      </x:c>
      <x:c r="S77" s="57" t="str">
        <x:v>GCAP estimated restatement; Position_Residency may include GCAP interpolation/extrapolation per documentation</x:v>
      </x:c>
      <x:c r="T77" s="57" t="str">
        <x:v>diagonal set to zero + within-sample row normalization</x:v>
      </x:c>
      <x:c r="U77" s="57" t="str">
        <x:v>GCAP Restated Bilateral External Portfolios v1.8</x:v>
      </x:c>
      <x:c r="V77" s="57" t="str">
        <x:v>IMF CPIS</x:v>
      </x:c>
      <x:c r="W77" s="58" t="str">
        <x:v>https://globalcapitalallocation.s3.us-east-2.amazonaws.com/Restated_Bilateral_External_Portfolios_ReadMe.pdf</x:v>
      </x:c>
      <x:c r="X77" s="59" t="n">
        <x:v>0.05020326832626656</x:v>
      </x:c>
      <x:c r="Y77" s="59" t="n">
        <x:v>0.040893565942824624</x:v>
      </x:c>
      <x:c r="Z77" s="59" t="n">
        <x:v>0.07172074640948789</x:v>
      </x:c>
      <x:c r="AA77" s="59" t="n">
        <x:v>0.031678423179656474</x:v>
      </x:c>
    </x:row>
    <x:row r="78">
      <x:c r="A78" s="53" t="str">
        <x:v>EA</x:v>
      </x:c>
      <x:c r="B78" s="53" t="str">
        <x:v>EMU</x:v>
      </x:c>
      <x:c r="C78" s="53" t="str">
        <x:v>European Monetary Union</x:v>
      </x:c>
      <x:c r="D78" s="53" t="str">
        <x:v>CN</x:v>
      </x:c>
      <x:c r="E78" s="53" t="str">
        <x:v>CHN</x:v>
      </x:c>
      <x:c r="F78" s="53" t="str">
        <x:v>China</x:v>
      </x:c>
      <x:c r="G78" s="53" t="n">
        <x:v>2017</x:v>
      </x:c>
      <x:c r="H78" s="53" t="str">
        <x:v>Fund Holdings</x:v>
      </x:c>
      <x:c r="I78" s="53" t="str">
        <x:v>EF+B</x:v>
      </x:c>
      <x:c r="J78" s="53" t="n">
        <x:v>2</x:v>
      </x:c>
      <x:c r="K78" s="53" t="n">
        <x:v>0</x:v>
      </x:c>
      <x:c r="L78" s="53" t="n">
        <x:v>0</x:v>
      </x:c>
      <x:c r="M78" s="54" t="n">
        <x:v>114974.23676461169</x:v>
      </x:c>
      <x:c r="N78" s="54" t="n">
        <x:v>415709.625955934</x:v>
      </x:c>
      <x:c r="O78" s="54" t="n">
        <x:v>315602.3238206841</x:v>
      </x:c>
      <x:c r="P78" s="54" t="n">
        <x:v>100107.3021352499</x:v>
      </x:c>
      <x:c r="Q78" s="55" t="b">
        <x:v>0</x:v>
      </x:c>
      <x:c r="R78" s="56" t="str">
        <x:v>none</x:v>
      </x:c>
      <x:c r="S78" s="57" t="str">
        <x:v>GCAP estimated restatement; Position_Residency may include GCAP interpolation/extrapolation per documentation</x:v>
      </x:c>
      <x:c r="T78" s="57" t="str">
        <x:v>diagonal set to zero + within-sample row normalization</x:v>
      </x:c>
      <x:c r="U78" s="57" t="str">
        <x:v>GCAP Restated Bilateral External Portfolios v1.8</x:v>
      </x:c>
      <x:c r="V78" s="57" t="str">
        <x:v>IMF CPIS</x:v>
      </x:c>
      <x:c r="W78" s="58" t="str">
        <x:v>https://globalcapitalallocation.s3.us-east-2.amazonaws.com/Restated_Bilateral_External_Portfolios_ReadMe.pdf</x:v>
      </x:c>
      <x:c r="X78" s="59" t="n">
        <x:v>0.053807213700433044</x:v>
      </x:c>
      <x:c r="Y78" s="59" t="n">
        <x:v>0.015430343900156665</x:v>
      </x:c>
      <x:c r="Z78" s="59" t="n">
        <x:v>0.08829890048101888</x:v>
      </x:c>
      <x:c r="AA78" s="59" t="n">
        <x:v>0.02411260199991197</x:v>
      </x:c>
    </x:row>
    <x:row r="79">
      <x:c r="A79" s="53" t="str">
        <x:v>EA</x:v>
      </x:c>
      <x:c r="B79" s="53" t="str">
        <x:v>EMU</x:v>
      </x:c>
      <x:c r="C79" s="53" t="str">
        <x:v>European Monetary Union</x:v>
      </x:c>
      <x:c r="D79" s="53" t="str">
        <x:v>EA</x:v>
      </x:c>
      <x:c r="E79" s="53" t="str">
        <x:v>EMU</x:v>
      </x:c>
      <x:c r="F79" s="53" t="str">
        <x:v>European Monetary Union</x:v>
      </x:c>
      <x:c r="G79" s="53" t="n">
        <x:v>2017</x:v>
      </x:c>
      <x:c r="H79" s="53" t="str">
        <x:v>Fund Holdings</x:v>
      </x:c>
      <x:c r="I79" s="53" t="str">
        <x:v>EF+B</x:v>
      </x:c>
      <x:c r="J79" s="53" t="n">
        <x:v>38</x:v>
      </x:c>
      <x:c r="K79" s="53" t="n">
        <x:v>1</x:v>
      </x:c>
      <x:c r="L79" s="53" t="n">
        <x:v>1</x:v>
      </x:c>
      <x:c r="M79" s="54" t="n">
        <x:v>13581650.421691578</x:v>
      </x:c>
      <x:c r="N79" s="54" t="n">
        <x:v>13851370.18096676</x:v>
      </x:c>
      <x:c r="O79" s="54" t="n">
        <x:v>4869715.331175478</x:v>
      </x:c>
      <x:c r="P79" s="54" t="n">
        <x:v>8981654.84979128</x:v>
      </x:c>
      <x:c r="Q79" s="55" t="b">
        <x:v>1</x:v>
      </x:c>
      <x:c r="R79" s="56" t="str">
        <x:v>none</x:v>
      </x:c>
      <x:c r="S79" s="57" t="str">
        <x:v>GCAP estimated restatement; Position_Residency may include GCAP interpolation/extrapolation per documentation</x:v>
      </x:c>
      <x:c r="T79" s="57" t="str">
        <x:v>EA issuer aggregation + diagonal set to zero + within-sample row normalization</x:v>
      </x:c>
      <x:c r="U79" s="57" t="str">
        <x:v>GCAP Restated Bilateral External Portfolios v1.8</x:v>
      </x:c>
      <x:c r="V79" s="57" t="str">
        <x:v>IMF CPIS</x:v>
      </x:c>
      <x:c r="W79" s="58" t="str">
        <x:v>https://globalcapitalallocation.s3.us-east-2.amazonaws.com/Restated_Bilateral_External_Portfolios_ReadMe.pdf</x:v>
      </x:c>
      <x:c r="X79" s="59" t="n">
        <x:v>0</x:v>
      </x:c>
      <x:c r="Y79" s="59" t="n">
        <x:v>0</x:v>
      </x:c>
      <x:c r="Z79" s="59" t="n">
        <x:v>0</x:v>
      </x:c>
      <x:c r="AA79" s="59" t="n">
        <x:v>0</x:v>
      </x:c>
    </x:row>
    <x:row r="80">
      <x:c r="A80" s="53" t="str">
        <x:v>EA</x:v>
      </x:c>
      <x:c r="B80" s="53" t="str">
        <x:v>EMU</x:v>
      </x:c>
      <x:c r="C80" s="53" t="str">
        <x:v>European Monetary Union</x:v>
      </x:c>
      <x:c r="D80" s="53" t="str">
        <x:v>UK</x:v>
      </x:c>
      <x:c r="E80" s="53" t="str">
        <x:v>GBR</x:v>
      </x:c>
      <x:c r="F80" s="53" t="str">
        <x:v>United Kingdom</x:v>
      </x:c>
      <x:c r="G80" s="53" t="n">
        <x:v>2017</x:v>
      </x:c>
      <x:c r="H80" s="53" t="str">
        <x:v>Fund Holdings</x:v>
      </x:c>
      <x:c r="I80" s="53" t="str">
        <x:v>EF+B</x:v>
      </x:c>
      <x:c r="J80" s="53" t="n">
        <x:v>2</x:v>
      </x:c>
      <x:c r="K80" s="53" t="n">
        <x:v>0</x:v>
      </x:c>
      <x:c r="L80" s="53" t="n">
        <x:v>0</x:v>
      </x:c>
      <x:c r="M80" s="54" t="n">
        <x:v>1866413.3186162026</x:v>
      </x:c>
      <x:c r="N80" s="54" t="n">
        <x:v>1640613.8336666944</x:v>
      </x:c>
      <x:c r="O80" s="54" t="n">
        <x:v>545013.3988751099</x:v>
      </x:c>
      <x:c r="P80" s="54" t="n">
        <x:v>1095600.4347915845</x:v>
      </x:c>
      <x:c r="Q80" s="55" t="b">
        <x:v>0</x:v>
      </x:c>
      <x:c r="R80" s="56" t="str">
        <x:v>none</x:v>
      </x:c>
      <x:c r="S80" s="57" t="str">
        <x:v>GCAP estimated restatement; Position_Residency may include GCAP interpolation/extrapolation per documentation</x:v>
      </x:c>
      <x:c r="T80" s="57" t="str">
        <x:v>diagonal set to zero + within-sample row normalization</x:v>
      </x:c>
      <x:c r="U80" s="57" t="str">
        <x:v>GCAP Restated Bilateral External Portfolios v1.8</x:v>
      </x:c>
      <x:c r="V80" s="57" t="str">
        <x:v>IMF CPIS</x:v>
      </x:c>
      <x:c r="W80" s="58" t="str">
        <x:v>https://globalcapitalallocation.s3.us-east-2.amazonaws.com/Restated_Bilateral_External_Portfolios_ReadMe.pdf</x:v>
      </x:c>
      <x:c r="X80" s="59" t="n">
        <x:v>0.21235221326664216</x:v>
      </x:c>
      <x:c r="Y80" s="59" t="n">
        <x:v>0.2504856755434879</x:v>
      </x:c>
      <x:c r="Z80" s="59" t="n">
        <x:v>0.1524833001402038</x:v>
      </x:c>
      <x:c r="AA80" s="59" t="n">
        <x:v>0.26389460780161933</x:v>
      </x:c>
    </x:row>
    <x:row r="81">
      <x:c r="A81" s="53" t="str">
        <x:v>EA</x:v>
      </x:c>
      <x:c r="B81" s="53" t="str">
        <x:v>EMU</x:v>
      </x:c>
      <x:c r="C81" s="53" t="str">
        <x:v>European Monetary Union</x:v>
      </x:c>
      <x:c r="D81" s="53" t="str">
        <x:v>JP</x:v>
      </x:c>
      <x:c r="E81" s="53" t="str">
        <x:v>JPN</x:v>
      </x:c>
      <x:c r="F81" s="53" t="str">
        <x:v>Japan</x:v>
      </x:c>
      <x:c r="G81" s="53" t="n">
        <x:v>2017</x:v>
      </x:c>
      <x:c r="H81" s="53" t="str">
        <x:v>Fund Holdings</x:v>
      </x:c>
      <x:c r="I81" s="53" t="str">
        <x:v>EF+B</x:v>
      </x:c>
      <x:c r="J81" s="53" t="n">
        <x:v>2</x:v>
      </x:c>
      <x:c r="K81" s="53" t="n">
        <x:v>0</x:v>
      </x:c>
      <x:c r="L81" s="53" t="n">
        <x:v>0</x:v>
      </x:c>
      <x:c r="M81" s="54" t="n">
        <x:v>523934.51949287904</x:v>
      </x:c>
      <x:c r="N81" s="54" t="n">
        <x:v>569599.3715335152</x:v>
      </x:c>
      <x:c r="O81" s="54" t="n">
        <x:v>329300.5868318975</x:v>
      </x:c>
      <x:c r="P81" s="54" t="n">
        <x:v>240298.78470161764</x:v>
      </x:c>
      <x:c r="Q81" s="55" t="b">
        <x:v>0</x:v>
      </x:c>
      <x:c r="R81" s="56" t="str">
        <x:v>none</x:v>
      </x:c>
      <x:c r="S81" s="57" t="str">
        <x:v>GCAP estimated restatement; Position_Residency may include GCAP interpolation/extrapolation per documentation</x:v>
      </x:c>
      <x:c r="T81" s="57" t="str">
        <x:v>diagonal set to zero + within-sample row normalization</x:v>
      </x:c>
      <x:c r="U81" s="57" t="str">
        <x:v>GCAP Restated Bilateral External Portfolios v1.8</x:v>
      </x:c>
      <x:c r="V81" s="57" t="str">
        <x:v>IMF CPIS</x:v>
      </x:c>
      <x:c r="W81" s="58" t="str">
        <x:v>https://globalcapitalallocation.s3.us-east-2.amazonaws.com/Restated_Bilateral_External_Portfolios_ReadMe.pdf</x:v>
      </x:c>
      <x:c r="X81" s="59" t="n">
        <x:v>0.07372587304722411</x:v>
      </x:c>
      <x:c r="Y81" s="59" t="n">
        <x:v>0.07031566413865346</x:v>
      </x:c>
      <x:c r="Z81" s="59" t="n">
        <x:v>0.09213138671796173</x:v>
      </x:c>
      <x:c r="AA81" s="59" t="n">
        <x:v>0.057880182893595034</x:v>
      </x:c>
    </x:row>
    <x:row r="82">
      <x:c r="A82" s="53" t="str">
        <x:v>EA</x:v>
      </x:c>
      <x:c r="B82" s="53" t="str">
        <x:v>EMU</x:v>
      </x:c>
      <x:c r="C82" s="53" t="str">
        <x:v>European Monetary Union</x:v>
      </x:c>
      <x:c r="D82" s="53" t="str">
        <x:v>KR</x:v>
      </x:c>
      <x:c r="E82" s="53" t="str">
        <x:v>KOR</x:v>
      </x:c>
      <x:c r="F82" s="53" t="str">
        <x:v>Korea, Republic of</x:v>
      </x:c>
      <x:c r="G82" s="53" t="n">
        <x:v>2017</x:v>
      </x:c>
      <x:c r="H82" s="53" t="str">
        <x:v>Fund Holdings</x:v>
      </x:c>
      <x:c r="I82" s="53" t="str">
        <x:v>EF+B</x:v>
      </x:c>
      <x:c r="J82" s="53" t="n">
        <x:v>2</x:v>
      </x:c>
      <x:c r="K82" s="53" t="n">
        <x:v>0</x:v>
      </x:c>
      <x:c r="L82" s="53" t="n">
        <x:v>0</x:v>
      </x:c>
      <x:c r="M82" s="54" t="n">
        <x:v>120815.16479643104</x:v>
      </x:c>
      <x:c r="N82" s="54" t="n">
        <x:v>121461.15409813088</x:v>
      </x:c>
      <x:c r="O82" s="54" t="n">
        <x:v>94711.5287133269</x:v>
      </x:c>
      <x:c r="P82" s="54" t="n">
        <x:v>26749.625384803974</x:v>
      </x:c>
      <x:c r="Q82" s="55" t="b">
        <x:v>0</x:v>
      </x:c>
      <x:c r="R82" s="56" t="str">
        <x:v>none</x:v>
      </x:c>
      <x:c r="S82" s="57" t="str">
        <x:v>GCAP estimated restatement; Position_Residency may include GCAP interpolation/extrapolation per documentation</x:v>
      </x:c>
      <x:c r="T82" s="57" t="str">
        <x:v>diagonal set to zero + within-sample row normalization</x:v>
      </x:c>
      <x:c r="U82" s="57" t="str">
        <x:v>GCAP Restated Bilateral External Portfolios v1.8</x:v>
      </x:c>
      <x:c r="V82" s="57" t="str">
        <x:v>IMF CPIS</x:v>
      </x:c>
      <x:c r="W82" s="58" t="str">
        <x:v>https://globalcapitalallocation.s3.us-east-2.amazonaws.com/Restated_Bilateral_External_Portfolios_ReadMe.pdf</x:v>
      </x:c>
      <x:c r="X82" s="59" t="n">
        <x:v>0.015721277225252732</x:v>
      </x:c>
      <x:c r="Y82" s="59" t="n">
        <x:v>0.016214237151055622</x:v>
      </x:c>
      <x:c r="Z82" s="59" t="n">
        <x:v>0.026498296169120666</x:v>
      </x:c>
      <x:c r="AA82" s="59" t="n">
        <x:v>0.006443117103276735</x:v>
      </x:c>
    </x:row>
    <x:row r="83">
      <x:c r="A83" s="53" t="str">
        <x:v>EA</x:v>
      </x:c>
      <x:c r="B83" s="53" t="str">
        <x:v>EMU</x:v>
      </x:c>
      <x:c r="C83" s="53" t="str">
        <x:v>European Monetary Union</x:v>
      </x:c>
      <x:c r="D83" s="53" t="str">
        <x:v>NO</x:v>
      </x:c>
      <x:c r="E83" s="53" t="str">
        <x:v>NOR</x:v>
      </x:c>
      <x:c r="F83" s="53" t="str">
        <x:v>Norway</x:v>
      </x:c>
      <x:c r="G83" s="53" t="n">
        <x:v>2017</x:v>
      </x:c>
      <x:c r="H83" s="53" t="str">
        <x:v>Fund Holdings</x:v>
      </x:c>
      <x:c r="I83" s="53" t="str">
        <x:v>EF+B</x:v>
      </x:c>
      <x:c r="J83" s="53" t="n">
        <x:v>2</x:v>
      </x:c>
      <x:c r="K83" s="53" t="n">
        <x:v>0</x:v>
      </x:c>
      <x:c r="L83" s="53" t="n">
        <x:v>0</x:v>
      </x:c>
      <x:c r="M83" s="54" t="n">
        <x:v>143617.6677784603</x:v>
      </x:c>
      <x:c r="N83" s="54" t="n">
        <x:v>133642.79394010993</x:v>
      </x:c>
      <x:c r="O83" s="54" t="n">
        <x:v>30309.23647594452</x:v>
      </x:c>
      <x:c r="P83" s="54" t="n">
        <x:v>103333.55746416541</x:v>
      </x:c>
      <x:c r="Q83" s="55" t="b">
        <x:v>0</x:v>
      </x:c>
      <x:c r="R83" s="56" t="str">
        <x:v>none</x:v>
      </x:c>
      <x:c r="S83" s="57" t="str">
        <x:v>GCAP estimated restatement; Position_Residency may include GCAP interpolation/extrapolation per documentation</x:v>
      </x:c>
      <x:c r="T83" s="57" t="str">
        <x:v>diagonal set to zero + within-sample row normalization</x:v>
      </x:c>
      <x:c r="U83" s="57" t="str">
        <x:v>GCAP Restated Bilateral External Portfolios v1.8</x:v>
      </x:c>
      <x:c r="V83" s="57" t="str">
        <x:v>IMF CPIS</x:v>
      </x:c>
      <x:c r="W83" s="58" t="str">
        <x:v>https://globalcapitalallocation.s3.us-east-2.amazonaws.com/Restated_Bilateral_External_Portfolios_ReadMe.pdf</x:v>
      </x:c>
      <x:c r="X83" s="59" t="n">
        <x:v>0.01729800303883434</x:v>
      </x:c>
      <x:c r="Y83" s="59" t="n">
        <x:v>0.01927449197594659</x:v>
      </x:c>
      <x:c r="Z83" s="59" t="n">
        <x:v>0.008479887672708237</x:v>
      </x:c>
      <x:c r="AA83" s="59" t="n">
        <x:v>0.024889702261700383</x:v>
      </x:c>
    </x:row>
    <x:row r="84">
      <x:c r="A84" s="53" t="str">
        <x:v>EA</x:v>
      </x:c>
      <x:c r="B84" s="53" t="str">
        <x:v>EMU</x:v>
      </x:c>
      <x:c r="C84" s="53" t="str">
        <x:v>European Monetary Union</x:v>
      </x:c>
      <x:c r="D84" s="53" t="str">
        <x:v>SG</x:v>
      </x:c>
      <x:c r="E84" s="53" t="str">
        <x:v>SGP</x:v>
      </x:c>
      <x:c r="F84" s="53" t="str">
        <x:v>Singapore</x:v>
      </x:c>
      <x:c r="G84" s="53" t="n">
        <x:v>2017</x:v>
      </x:c>
      <x:c r="H84" s="53" t="str">
        <x:v>Fund Holdings</x:v>
      </x:c>
      <x:c r="I84" s="53" t="str">
        <x:v>EF+B</x:v>
      </x:c>
      <x:c r="J84" s="53" t="n">
        <x:v>2</x:v>
      </x:c>
      <x:c r="K84" s="53" t="n">
        <x:v>0</x:v>
      </x:c>
      <x:c r="L84" s="53" t="n">
        <x:v>0</x:v>
      </x:c>
      <x:c r="M84" s="54" t="n">
        <x:v>66035.79348026533</x:v>
      </x:c>
      <x:c r="N84" s="54" t="n">
        <x:v>44828.154664162226</x:v>
      </x:c>
      <x:c r="O84" s="54" t="n">
        <x:v>23710.038913726807</x:v>
      </x:c>
      <x:c r="P84" s="54" t="n">
        <x:v>21118.115750435423</x:v>
      </x:c>
      <x:c r="Q84" s="55" t="b">
        <x:v>0</x:v>
      </x:c>
      <x:c r="R84" s="56" t="str">
        <x:v>none</x:v>
      </x:c>
      <x:c r="S84" s="57" t="str">
        <x:v>GCAP estimated restatement; Position_Residency may include GCAP interpolation/extrapolation per documentation</x:v>
      </x:c>
      <x:c r="T84" s="57" t="str">
        <x:v>diagonal set to zero + within-sample row normalization</x:v>
      </x:c>
      <x:c r="U84" s="57" t="str">
        <x:v>GCAP Restated Bilateral External Portfolios v1.8</x:v>
      </x:c>
      <x:c r="V84" s="57" t="str">
        <x:v>IMF CPIS</x:v>
      </x:c>
      <x:c r="W84" s="58" t="str">
        <x:v>https://globalcapitalallocation.s3.us-east-2.amazonaws.com/Restated_Bilateral_External_Portfolios_ReadMe.pdf</x:v>
      </x:c>
      <x:c r="X84" s="59" t="n">
        <x:v>0.00580231475820174</x:v>
      </x:c>
      <x:c r="Y84" s="59" t="n">
        <x:v>0.008862463729212117</x:v>
      </x:c>
      <x:c r="Z84" s="59" t="n">
        <x:v>0.0066335708213408244</x:v>
      </x:c>
      <x:c r="AA84" s="59" t="n">
        <x:v>0.005086669096229865</x:v>
      </x:c>
    </x:row>
    <x:row r="85">
      <x:c r="A85" s="53" t="str">
        <x:v>EA</x:v>
      </x:c>
      <x:c r="B85" s="53" t="str">
        <x:v>EMU</x:v>
      </x:c>
      <x:c r="C85" s="53" t="str">
        <x:v>European Monetary Union</x:v>
      </x:c>
      <x:c r="D85" s="53" t="str">
        <x:v>TR</x:v>
      </x:c>
      <x:c r="E85" s="53" t="str">
        <x:v>TUR</x:v>
      </x:c>
      <x:c r="F85" s="53" t="str">
        <x:v>Turkey</x:v>
      </x:c>
      <x:c r="G85" s="53" t="n">
        <x:v>2017</x:v>
      </x:c>
      <x:c r="H85" s="53" t="str">
        <x:v>Fund Holdings</x:v>
      </x:c>
      <x:c r="I85" s="53" t="str">
        <x:v>EF+B</x:v>
      </x:c>
      <x:c r="J85" s="53" t="n">
        <x:v>2</x:v>
      </x:c>
      <x:c r="K85" s="53" t="n">
        <x:v>0</x:v>
      </x:c>
      <x:c r="L85" s="53" t="n">
        <x:v>0</x:v>
      </x:c>
      <x:c r="M85" s="54" t="n">
        <x:v>50252.948552528556</x:v>
      </x:c>
      <x:c r="N85" s="54" t="n">
        <x:v>48788.868040894224</x:v>
      </x:c>
      <x:c r="O85" s="54" t="n">
        <x:v>10705.76144361496</x:v>
      </x:c>
      <x:c r="P85" s="54" t="n">
        <x:v>38083.106597279264</x:v>
      </x:c>
      <x:c r="Q85" s="55" t="b">
        <x:v>0</x:v>
      </x:c>
      <x:c r="R85" s="56" t="str">
        <x:v>none</x:v>
      </x:c>
      <x:c r="S85" s="57" t="str">
        <x:v>GCAP estimated restatement; Position_Residency may include GCAP interpolation/extrapolation per documentation</x:v>
      </x:c>
      <x:c r="T85" s="57" t="str">
        <x:v>diagonal set to zero + within-sample row normalization</x:v>
      </x:c>
      <x:c r="U85" s="57" t="str">
        <x:v>GCAP Restated Bilateral External Portfolios v1.8</x:v>
      </x:c>
      <x:c r="V85" s="57" t="str">
        <x:v>IMF CPIS</x:v>
      </x:c>
      <x:c r="W85" s="58" t="str">
        <x:v>https://globalcapitalallocation.s3.us-east-2.amazonaws.com/Restated_Bilateral_External_Portfolios_ReadMe.pdf</x:v>
      </x:c>
      <x:c r="X85" s="59" t="n">
        <x:v>0.006314968153171654</x:v>
      </x:c>
      <x:c r="Y85" s="59" t="n">
        <x:v>0.006744295939532298</x:v>
      </x:c>
      <x:c r="Z85" s="59" t="n">
        <x:v>0.0029952471605385954</x:v>
      </x:c>
      <x:c r="AA85" s="59" t="n">
        <x:v>0.00917298511411057</x:v>
      </x:c>
    </x:row>
    <x:row r="86">
      <x:c r="A86" s="53" t="str">
        <x:v>EA</x:v>
      </x:c>
      <x:c r="B86" s="53" t="str">
        <x:v>EMU</x:v>
      </x:c>
      <x:c r="C86" s="53" t="str">
        <x:v>European Monetary Union</x:v>
      </x:c>
      <x:c r="D86" s="53" t="str">
        <x:v>US</x:v>
      </x:c>
      <x:c r="E86" s="53" t="str">
        <x:v>USA</x:v>
      </x:c>
      <x:c r="F86" s="53" t="str">
        <x:v>United States</x:v>
      </x:c>
      <x:c r="G86" s="53" t="n">
        <x:v>2017</x:v>
      </x:c>
      <x:c r="H86" s="53" t="str">
        <x:v>Fund Holdings</x:v>
      </x:c>
      <x:c r="I86" s="53" t="str">
        <x:v>EF+B</x:v>
      </x:c>
      <x:c r="J86" s="53" t="n">
        <x:v>2</x:v>
      </x:c>
      <x:c r="K86" s="53" t="n">
        <x:v>0</x:v>
      </x:c>
      <x:c r="L86" s="53" t="n">
        <x:v>0</x:v>
      </x:c>
      <x:c r="M86" s="54" t="n">
        <x:v>3581157.3822519765</x:v>
      </x:c>
      <x:c r="N86" s="54" t="n">
        <x:v>3640465.8163215853</x:v>
      </x:c>
      <x:c r="O86" s="54" t="n">
        <x:v>1723745.515970122</x:v>
      </x:c>
      <x:c r="P86" s="54" t="n">
        <x:v>1916720.3003514633</x:v>
      </x:c>
      <x:c r="Q86" s="55" t="b">
        <x:v>0</x:v>
      </x:c>
      <x:c r="R86" s="56" t="str">
        <x:v>none</x:v>
      </x:c>
      <x:c r="S86" s="57" t="str">
        <x:v>GCAP estimated restatement; Position_Residency may include GCAP interpolation/extrapolation per documentation</x:v>
      </x:c>
      <x:c r="T86" s="57" t="str">
        <x:v>diagonal set to zero + within-sample row normalization</x:v>
      </x:c>
      <x:c r="U86" s="57" t="str">
        <x:v>GCAP Restated Bilateral External Portfolios v1.8</x:v>
      </x:c>
      <x:c r="V86" s="57" t="str">
        <x:v>IMF CPIS</x:v>
      </x:c>
      <x:c r="W86" s="58" t="str">
        <x:v>https://globalcapitalallocation.s3.us-east-2.amazonaws.com/Restated_Bilateral_External_Portfolios_ReadMe.pdf</x:v>
      </x:c>
      <x:c r="X86" s="59" t="n">
        <x:v>0.47120227658308056</x:v>
      </x:c>
      <x:c r="Y86" s="59" t="n">
        <x:v>0.4806162799920494</x:v>
      </x:c>
      <x:c r="Z86" s="59" t="n">
        <x:v>0.4822677853783061</x:v>
      </x:c>
      <x:c r="AA86" s="59" t="n">
        <x:v>0.46167574953808027</x:v>
      </x:c>
    </x:row>
    <x:row r="87">
      <x:c r="A87" s="53" t="str">
        <x:v>EA</x:v>
      </x:c>
      <x:c r="B87" s="53" t="str">
        <x:v>EMU</x:v>
      </x:c>
      <x:c r="C87" s="53" t="str">
        <x:v>European Monetary Union</x:v>
      </x:c>
      <x:c r="D87" s="53" t="str">
        <x:v>ZA</x:v>
      </x:c>
      <x:c r="E87" s="53" t="str">
        <x:v>ZAF</x:v>
      </x:c>
      <x:c r="F87" s="53" t="str">
        <x:v>South Africa</x:v>
      </x:c>
      <x:c r="G87" s="53" t="n">
        <x:v>2017</x:v>
      </x:c>
      <x:c r="H87" s="53" t="str">
        <x:v>Fund Holdings</x:v>
      </x:c>
      <x:c r="I87" s="53" t="str">
        <x:v>EF+B</x:v>
      </x:c>
      <x:c r="J87" s="53" t="n">
        <x:v>2</x:v>
      </x:c>
      <x:c r="K87" s="53" t="n">
        <x:v>0</x:v>
      </x:c>
      <x:c r="L87" s="53" t="n">
        <x:v>0</x:v>
      </x:c>
      <x:c r="M87" s="54" t="n">
        <x:v>61175.29941260694</x:v>
      </x:c>
      <x:c r="N87" s="54" t="n">
        <x:v>67215.11045327078</x:v>
      </x:c>
      <x:c r="O87" s="54" t="n">
        <x:v>34059.04848050687</x:v>
      </x:c>
      <x:c r="P87" s="54" t="n">
        <x:v>33156.06197276391</x:v>
      </x:c>
      <x:c r="Q87" s="55" t="b">
        <x:v>0</x:v>
      </x:c>
      <x:c r="R87" s="56" t="str">
        <x:v>none</x:v>
      </x:c>
      <x:c r="S87" s="57" t="str">
        <x:v>GCAP estimated restatement; Position_Residency may include GCAP interpolation/extrapolation per documentation</x:v>
      </x:c>
      <x:c r="T87" s="57" t="str">
        <x:v>diagonal set to zero + within-sample row normalization</x:v>
      </x:c>
      <x:c r="U87" s="57" t="str">
        <x:v>GCAP Restated Bilateral External Portfolios v1.8</x:v>
      </x:c>
      <x:c r="V87" s="57" t="str">
        <x:v>IMF CPIS</x:v>
      </x:c>
      <x:c r="W87" s="58" t="str">
        <x:v>https://globalcapitalallocation.s3.us-east-2.amazonaws.com/Restated_Bilateral_External_Portfolios_ReadMe.pdf</x:v>
      </x:c>
      <x:c r="X87" s="59" t="n">
        <x:v>0.008699961670939813</x:v>
      </x:c>
      <x:c r="Y87" s="59" t="n">
        <x:v>0.008210151549552364</x:v>
      </x:c>
      <x:c r="Z87" s="59" t="n">
        <x:v>0.009529006300876212</x:v>
      </x:c>
      <x:c r="AA87" s="59" t="n">
        <x:v>0.007986219877882004</x:v>
      </x:c>
    </x:row>
    <x:row r="88">
      <x:c r="A88" s="53" t="str">
        <x:v>UK</x:v>
      </x:c>
      <x:c r="B88" s="53" t="str">
        <x:v>GBR</x:v>
      </x:c>
      <x:c r="C88" s="53" t="str">
        <x:v>United Kingdom</x:v>
      </x:c>
      <x:c r="D88" s="53" t="str">
        <x:v>AU</x:v>
      </x:c>
      <x:c r="E88" s="53" t="str">
        <x:v>AUS</x:v>
      </x:c>
      <x:c r="F88" s="53" t="str">
        <x:v>Australia</x:v>
      </x:c>
      <x:c r="G88" s="53" t="n">
        <x:v>2017</x:v>
      </x:c>
      <x:c r="H88" s="53" t="str">
        <x:v>Fund Holdings</x:v>
      </x:c>
      <x:c r="I88" s="53" t="str">
        <x:v>EF+B</x:v>
      </x:c>
      <x:c r="J88" s="53" t="n">
        <x:v>2</x:v>
      </x:c>
      <x:c r="K88" s="53" t="n">
        <x:v>0</x:v>
      </x:c>
      <x:c r="L88" s="53" t="n">
        <x:v>0</x:v>
      </x:c>
      <x:c r="M88" s="54" t="n">
        <x:v>77508.04417499999</x:v>
      </x:c>
      <x:c r="N88" s="54" t="n">
        <x:v>76608.72086971987</x:v>
      </x:c>
      <x:c r="O88" s="54" t="n">
        <x:v>42722.9581271711</x:v>
      </x:c>
      <x:c r="P88" s="54" t="n">
        <x:v>33885.762742548766</x:v>
      </x:c>
      <x:c r="Q88" s="55" t="b">
        <x:v>0</x:v>
      </x:c>
      <x:c r="R88" s="56" t="str">
        <x:v>none</x:v>
      </x:c>
      <x:c r="S88" s="57" t="str">
        <x:v>GCAP estimated restatement; Position_Residency may include GCAP interpolation/extrapolation per documentation</x:v>
      </x:c>
      <x:c r="T88" s="57" t="str">
        <x:v>diagonal set to zero + within-sample row normalization</x:v>
      </x:c>
      <x:c r="U88" s="57" t="str">
        <x:v>GCAP Restated Bilateral External Portfolios v1.8</x:v>
      </x:c>
      <x:c r="V88" s="57" t="str">
        <x:v>IMF CPIS</x:v>
      </x:c>
      <x:c r="W88" s="58" t="str">
        <x:v>https://globalcapitalallocation.s3.us-east-2.amazonaws.com/Restated_Bilateral_External_Portfolios_ReadMe.pdf</x:v>
      </x:c>
      <x:c r="X88" s="59" t="n">
        <x:v>0.02608695778017579</x:v>
      </x:c>
      <x:c r="Y88" s="59" t="n">
        <x:v>0.02665211694176453</x:v>
      </x:c>
      <x:c r="Z88" s="59" t="n">
        <x:v>0.022112361024344954</x:v>
      </x:c>
      <x:c r="AA88" s="59" t="n">
        <x:v>0.03373118540806582</x:v>
      </x:c>
    </x:row>
    <x:row r="89">
      <x:c r="A89" s="53" t="str">
        <x:v>UK</x:v>
      </x:c>
      <x:c r="B89" s="53" t="str">
        <x:v>GBR</x:v>
      </x:c>
      <x:c r="C89" s="53" t="str">
        <x:v>United Kingdom</x:v>
      </x:c>
      <x:c r="D89" s="53" t="str">
        <x:v>BR</x:v>
      </x:c>
      <x:c r="E89" s="53" t="str">
        <x:v>BRA</x:v>
      </x:c>
      <x:c r="F89" s="53" t="str">
        <x:v>Brazil</x:v>
      </x:c>
      <x:c r="G89" s="53" t="n">
        <x:v>2017</x:v>
      </x:c>
      <x:c r="H89" s="53" t="str">
        <x:v>Fund Holdings</x:v>
      </x:c>
      <x:c r="I89" s="53" t="str">
        <x:v>EF+B</x:v>
      </x:c>
      <x:c r="J89" s="53" t="n">
        <x:v>2</x:v>
      </x:c>
      <x:c r="K89" s="53" t="n">
        <x:v>0</x:v>
      </x:c>
      <x:c r="L89" s="53" t="n">
        <x:v>0</x:v>
      </x:c>
      <x:c r="M89" s="54" t="n">
        <x:v>25305.688349999997</x:v>
      </x:c>
      <x:c r="N89" s="54" t="n">
        <x:v>30381.234391771843</x:v>
      </x:c>
      <x:c r="O89" s="54" t="n">
        <x:v>13451.915364608169</x:v>
      </x:c>
      <x:c r="P89" s="54" t="n">
        <x:v>16929.319027163674</x:v>
      </x:c>
      <x:c r="Q89" s="55" t="b">
        <x:v>0</x:v>
      </x:c>
      <x:c r="R89" s="56" t="str">
        <x:v>none</x:v>
      </x:c>
      <x:c r="S89" s="57" t="str">
        <x:v>GCAP estimated restatement; Position_Residency may include GCAP interpolation/extrapolation per documentation</x:v>
      </x:c>
      <x:c r="T89" s="57" t="str">
        <x:v>diagonal set to zero + within-sample row normalization</x:v>
      </x:c>
      <x:c r="U89" s="57" t="str">
        <x:v>GCAP Restated Bilateral External Portfolios v1.8</x:v>
      </x:c>
      <x:c r="V89" s="57" t="str">
        <x:v>IMF CPIS</x:v>
      </x:c>
      <x:c r="W89" s="58" t="str">
        <x:v>https://globalcapitalallocation.s3.us-east-2.amazonaws.com/Restated_Bilateral_External_Portfolios_ReadMe.pdf</x:v>
      </x:c>
      <x:c r="X89" s="59" t="n">
        <x:v>0.010345479860388052</x:v>
      </x:c>
      <x:c r="Y89" s="59" t="n">
        <x:v>0.008701679578873831</x:v>
      </x:c>
      <x:c r="Z89" s="59" t="n">
        <x:v>0.00696238327237863</x:v>
      </x:c>
      <x:c r="AA89" s="59" t="n">
        <x:v>0.016852092227527718</x:v>
      </x:c>
    </x:row>
    <x:row r="90">
      <x:c r="A90" s="53" t="str">
        <x:v>UK</x:v>
      </x:c>
      <x:c r="B90" s="53" t="str">
        <x:v>GBR</x:v>
      </x:c>
      <x:c r="C90" s="53" t="str">
        <x:v>United Kingdom</x:v>
      </x:c>
      <x:c r="D90" s="53" t="str">
        <x:v>CA</x:v>
      </x:c>
      <x:c r="E90" s="53" t="str">
        <x:v>CAN</x:v>
      </x:c>
      <x:c r="F90" s="53" t="str">
        <x:v>Canada</x:v>
      </x:c>
      <x:c r="G90" s="53" t="n">
        <x:v>2017</x:v>
      </x:c>
      <x:c r="H90" s="53" t="str">
        <x:v>Fund Holdings</x:v>
      </x:c>
      <x:c r="I90" s="53" t="str">
        <x:v>EF+B</x:v>
      </x:c>
      <x:c r="J90" s="53" t="n">
        <x:v>2</x:v>
      </x:c>
      <x:c r="K90" s="53" t="n">
        <x:v>0</x:v>
      </x:c>
      <x:c r="L90" s="53" t="n">
        <x:v>0</x:v>
      </x:c>
      <x:c r="M90" s="54" t="n">
        <x:v>61686.753249999994</x:v>
      </x:c>
      <x:c r="N90" s="54" t="n">
        <x:v>64365.5843688499</x:v>
      </x:c>
      <x:c r="O90" s="54" t="n">
        <x:v>35272.83904418349</x:v>
      </x:c>
      <x:c r="P90" s="54" t="n">
        <x:v>29092.745324666408</x:v>
      </x:c>
      <x:c r="Q90" s="55" t="b">
        <x:v>0</x:v>
      </x:c>
      <x:c r="R90" s="56" t="str">
        <x:v>none</x:v>
      </x:c>
      <x:c r="S90" s="57" t="str">
        <x:v>GCAP estimated restatement; Position_Residency may include GCAP interpolation/extrapolation per documentation</x:v>
      </x:c>
      <x:c r="T90" s="57" t="str">
        <x:v>diagonal set to zero + within-sample row normalization</x:v>
      </x:c>
      <x:c r="U90" s="57" t="str">
        <x:v>GCAP Restated Bilateral External Portfolios v1.8</x:v>
      </x:c>
      <x:c r="V90" s="57" t="str">
        <x:v>IMF CPIS</x:v>
      </x:c>
      <x:c r="W90" s="58" t="str">
        <x:v>https://globalcapitalallocation.s3.us-east-2.amazonaws.com/Restated_Bilateral_External_Portfolios_ReadMe.pdf</x:v>
      </x:c>
      <x:c r="X90" s="59" t="n">
        <x:v>0.021917899984023975</x:v>
      </x:c>
      <x:c r="Y90" s="59" t="n">
        <x:v>0.02121176684144828</x:v>
      </x:c>
      <x:c r="Z90" s="59" t="n">
        <x:v>0.01825636111097257</x:v>
      </x:c>
      <x:c r="AA90" s="59" t="n">
        <x:v>0.028960032389760818</x:v>
      </x:c>
    </x:row>
    <x:row r="91">
      <x:c r="A91" s="53" t="str">
        <x:v>UK</x:v>
      </x:c>
      <x:c r="B91" s="53" t="str">
        <x:v>GBR</x:v>
      </x:c>
      <x:c r="C91" s="53" t="str">
        <x:v>United Kingdom</x:v>
      </x:c>
      <x:c r="D91" s="53" t="str">
        <x:v>CH</x:v>
      </x:c>
      <x:c r="E91" s="53" t="str">
        <x:v>CHE</x:v>
      </x:c>
      <x:c r="F91" s="53" t="str">
        <x:v>Switzerland</x:v>
      </x:c>
      <x:c r="G91" s="53" t="n">
        <x:v>2017</x:v>
      </x:c>
      <x:c r="H91" s="53" t="str">
        <x:v>Fund Holdings</x:v>
      </x:c>
      <x:c r="I91" s="53" t="str">
        <x:v>EF+B</x:v>
      </x:c>
      <x:c r="J91" s="53" t="n">
        <x:v>2</x:v>
      </x:c>
      <x:c r="K91" s="53" t="n">
        <x:v>0</x:v>
      </x:c>
      <x:c r="L91" s="53" t="n">
        <x:v>0</x:v>
      </x:c>
      <x:c r="M91" s="54" t="n">
        <x:v>88258.063805</x:v>
      </x:c>
      <x:c r="N91" s="54" t="n">
        <x:v>104131.93751375625</x:v>
      </x:c>
      <x:c r="O91" s="54" t="n">
        <x:v>77791.00621844828</x:v>
      </x:c>
      <x:c r="P91" s="54" t="n">
        <x:v>26340.93129530797</x:v>
      </x:c>
      <x:c r="Q91" s="55" t="b">
        <x:v>0</x:v>
      </x:c>
      <x:c r="R91" s="56" t="str">
        <x:v>none</x:v>
      </x:c>
      <x:c r="S91" s="57" t="str">
        <x:v>GCAP estimated restatement; Position_Residency may include GCAP interpolation/extrapolation per documentation</x:v>
      </x:c>
      <x:c r="T91" s="57" t="str">
        <x:v>diagonal set to zero + within-sample row normalization</x:v>
      </x:c>
      <x:c r="U91" s="57" t="str">
        <x:v>GCAP Restated Bilateral External Portfolios v1.8</x:v>
      </x:c>
      <x:c r="V91" s="57" t="str">
        <x:v>IMF CPIS</x:v>
      </x:c>
      <x:c r="W91" s="58" t="str">
        <x:v>https://globalcapitalallocation.s3.us-east-2.amazonaws.com/Restated_Bilateral_External_Portfolios_ReadMe.pdf</x:v>
      </x:c>
      <x:c r="X91" s="59" t="n">
        <x:v>0.03545921961167965</x:v>
      </x:c>
      <x:c r="Y91" s="59" t="n">
        <x:v>0.03034864655175097</x:v>
      </x:c>
      <x:c r="Z91" s="59" t="n">
        <x:v>0.04026272733337276</x:v>
      </x:c>
      <x:c r="AA91" s="59" t="n">
        <x:v>0.026220771363292792</x:v>
      </x:c>
    </x:row>
    <x:row r="92">
      <x:c r="A92" s="53" t="str">
        <x:v>UK</x:v>
      </x:c>
      <x:c r="B92" s="53" t="str">
        <x:v>GBR</x:v>
      </x:c>
      <x:c r="C92" s="53" t="str">
        <x:v>United Kingdom</x:v>
      </x:c>
      <x:c r="D92" s="53" t="str">
        <x:v>CN</x:v>
      </x:c>
      <x:c r="E92" s="53" t="str">
        <x:v>CHN</x:v>
      </x:c>
      <x:c r="F92" s="53" t="str">
        <x:v>China</x:v>
      </x:c>
      <x:c r="G92" s="53" t="n">
        <x:v>2017</x:v>
      </x:c>
      <x:c r="H92" s="53" t="str">
        <x:v>Fund Holdings</x:v>
      </x:c>
      <x:c r="I92" s="53" t="str">
        <x:v>EF+B</x:v>
      </x:c>
      <x:c r="J92" s="53" t="n">
        <x:v>2</x:v>
      </x:c>
      <x:c r="K92" s="53" t="n">
        <x:v>0</x:v>
      </x:c>
      <x:c r="L92" s="53" t="n">
        <x:v>0</x:v>
      </x:c>
      <x:c r="M92" s="54" t="n">
        <x:v>56113.664845</x:v>
      </x:c>
      <x:c r="N92" s="54" t="n">
        <x:v>111390.43415580613</x:v>
      </x:c>
      <x:c r="O92" s="54" t="n">
        <x:v>95804.60199455917</x:v>
      </x:c>
      <x:c r="P92" s="54" t="n">
        <x:v>15585.832161246954</x:v>
      </x:c>
      <x:c r="Q92" s="55" t="b">
        <x:v>0</x:v>
      </x:c>
      <x:c r="R92" s="56" t="str">
        <x:v>none</x:v>
      </x:c>
      <x:c r="S92" s="57" t="str">
        <x:v>GCAP estimated restatement; Position_Residency may include GCAP interpolation/extrapolation per documentation</x:v>
      </x:c>
      <x:c r="T92" s="57" t="str">
        <x:v>diagonal set to zero + within-sample row normalization</x:v>
      </x:c>
      <x:c r="U92" s="57" t="str">
        <x:v>GCAP Restated Bilateral External Portfolios v1.8</x:v>
      </x:c>
      <x:c r="V92" s="57" t="str">
        <x:v>IMF CPIS</x:v>
      </x:c>
      <x:c r="W92" s="58" t="str">
        <x:v>https://globalcapitalallocation.s3.us-east-2.amazonaws.com/Restated_Bilateral_External_Portfolios_ReadMe.pdf</x:v>
      </x:c>
      <x:c r="X92" s="59" t="n">
        <x:v>0.03793089768304066</x:v>
      </x:c>
      <x:c r="Y92" s="59" t="n">
        <x:v>0.019295390219152327</x:v>
      </x:c>
      <x:c r="Z92" s="59" t="n">
        <x:v>0.04958612511782187</x:v>
      </x:c>
      <x:c r="AA92" s="59" t="n">
        <x:v>0.01551473397144115</x:v>
      </x:c>
    </x:row>
    <x:row r="93">
      <x:c r="A93" s="53" t="str">
        <x:v>UK</x:v>
      </x:c>
      <x:c r="B93" s="53" t="str">
        <x:v>GBR</x:v>
      </x:c>
      <x:c r="C93" s="53" t="str">
        <x:v>United Kingdom</x:v>
      </x:c>
      <x:c r="D93" s="53" t="str">
        <x:v>EA</x:v>
      </x:c>
      <x:c r="E93" s="53" t="str">
        <x:v>EMU</x:v>
      </x:c>
      <x:c r="F93" s="53" t="str">
        <x:v>European Monetary Union</x:v>
      </x:c>
      <x:c r="G93" s="53" t="n">
        <x:v>2017</x:v>
      </x:c>
      <x:c r="H93" s="53" t="str">
        <x:v>Fund Holdings</x:v>
      </x:c>
      <x:c r="I93" s="53" t="str">
        <x:v>EF+B</x:v>
      </x:c>
      <x:c r="J93" s="53" t="n">
        <x:v>38</x:v>
      </x:c>
      <x:c r="K93" s="53" t="n">
        <x:v>0</x:v>
      </x:c>
      <x:c r="L93" s="53" t="n">
        <x:v>0</x:v>
      </x:c>
      <x:c r="M93" s="54" t="n">
        <x:v>1056591.73356</x:v>
      </x:c>
      <x:c r="N93" s="54" t="n">
        <x:v>959242.4535313029</x:v>
      </x:c>
      <x:c r="O93" s="54" t="n">
        <x:v>598803.6391580801</x:v>
      </x:c>
      <x:c r="P93" s="54" t="n">
        <x:v>360438.8143732227</x:v>
      </x:c>
      <x:c r="Q93" s="55" t="b">
        <x:v>0</x:v>
      </x:c>
      <x:c r="R93" s="56" t="str">
        <x:v>none</x:v>
      </x:c>
      <x:c r="S93" s="57" t="str">
        <x:v>GCAP estimated restatement; Position_Residency may include GCAP interpolation/extrapolation per documentation</x:v>
      </x:c>
      <x:c r="T93" s="57" t="str">
        <x:v>EA issuer aggregation + diagonal set to zero + within-sample row normalization</x:v>
      </x:c>
      <x:c r="U93" s="57" t="str">
        <x:v>GCAP Restated Bilateral External Portfolios v1.8</x:v>
      </x:c>
      <x:c r="V93" s="57" t="str">
        <x:v>IMF CPIS</x:v>
      </x:c>
      <x:c r="W93" s="58" t="str">
        <x:v>https://globalcapitalallocation.s3.us-east-2.amazonaws.com/Restated_Bilateral_External_Portfolios_ReadMe.pdf</x:v>
      </x:c>
      <x:c r="X93" s="59" t="n">
        <x:v>0.3266431954761189</x:v>
      </x:c>
      <x:c r="Y93" s="59" t="n">
        <x:v>0.363322371791003</x:v>
      </x:c>
      <x:c r="Z93" s="59" t="n">
        <x:v>0.3099261575554155</x:v>
      </x:c>
      <x:c r="AA93" s="59" t="n">
        <x:v>0.35879459371355177</x:v>
      </x:c>
    </x:row>
    <x:row r="94">
      <x:c r="A94" s="53" t="str">
        <x:v>UK</x:v>
      </x:c>
      <x:c r="B94" s="53" t="str">
        <x:v>GBR</x:v>
      </x:c>
      <x:c r="C94" s="53" t="str">
        <x:v>United Kingdom</x:v>
      </x:c>
      <x:c r="D94" s="53" t="str">
        <x:v>UK</x:v>
      </x:c>
      <x:c r="E94" s="53" t="str">
        <x:v>GBR</x:v>
      </x:c>
      <x:c r="F94" s="53" t="str">
        <x:v>United Kingdom</x:v>
      </x:c>
      <x:c r="G94" s="53" t="n">
        <x:v>2017</x:v>
      </x:c>
      <x:c r="H94" s="53" t="str">
        <x:v>Fund Holdings</x:v>
      </x:c>
      <x:c r="I94" s="53" t="str">
        <x:v>EF+B</x:v>
      </x:c>
      <x:c r="J94" s="53" t="n">
        <x:v>2</x:v>
      </x:c>
      <x:c r="K94" s="53" t="n">
        <x:v>0</x:v>
      </x:c>
      <x:c r="L94" s="53" t="n">
        <x:v>0</x:v>
      </x:c>
      <x:c r="M94" s="54" t="n">
        <x:v>2387451</x:v>
      </x:c>
      <x:c r="N94" s="54" t="n">
        <x:v>2503285.012262982</x:v>
      </x:c>
      <x:c r="O94" s="54" t="n">
        <x:v>1564963.6548541784</x:v>
      </x:c>
      <x:c r="P94" s="54" t="n">
        <x:v>938321.3574088034</x:v>
      </x:c>
      <x:c r="Q94" s="55" t="b">
        <x:v>1</x:v>
      </x:c>
      <x:c r="R94" s="56" t="str">
        <x:v>none</x:v>
      </x:c>
      <x:c r="S94" s="57" t="str">
        <x:v>GCAP estimated restatement; Position_Residency may include GCAP interpolation/extrapolation per documentation</x:v>
      </x:c>
      <x:c r="T94" s="57" t="str">
        <x:v>EA issuer aggregation + diagonal set to zero + within-sample row normalization</x:v>
      </x:c>
      <x:c r="U94" s="57" t="str">
        <x:v>GCAP Restated Bilateral External Portfolios v1.8</x:v>
      </x:c>
      <x:c r="V94" s="57" t="str">
        <x:v>IMF CPIS</x:v>
      </x:c>
      <x:c r="W94" s="58" t="str">
        <x:v>https://globalcapitalallocation.s3.us-east-2.amazonaws.com/Restated_Bilateral_External_Portfolios_ReadMe.pdf</x:v>
      </x:c>
      <x:c r="X94" s="59" t="n">
        <x:v>0</x:v>
      </x:c>
      <x:c r="Y94" s="59" t="n">
        <x:v>0</x:v>
      </x:c>
      <x:c r="Z94" s="59" t="n">
        <x:v>0</x:v>
      </x:c>
      <x:c r="AA94" s="59" t="n">
        <x:v>0</x:v>
      </x:c>
    </x:row>
    <x:row r="95">
      <x:c r="A95" s="53" t="str">
        <x:v>UK</x:v>
      </x:c>
      <x:c r="B95" s="53" t="str">
        <x:v>GBR</x:v>
      </x:c>
      <x:c r="C95" s="53" t="str">
        <x:v>United Kingdom</x:v>
      </x:c>
      <x:c r="D95" s="53" t="str">
        <x:v>JP</x:v>
      </x:c>
      <x:c r="E95" s="53" t="str">
        <x:v>JPN</x:v>
      </x:c>
      <x:c r="F95" s="53" t="str">
        <x:v>Japan</x:v>
      </x:c>
      <x:c r="G95" s="53" t="n">
        <x:v>2017</x:v>
      </x:c>
      <x:c r="H95" s="53" t="str">
        <x:v>Fund Holdings</x:v>
      </x:c>
      <x:c r="I95" s="53" t="str">
        <x:v>EF+B</x:v>
      </x:c>
      <x:c r="J95" s="53" t="n">
        <x:v>2</x:v>
      </x:c>
      <x:c r="K95" s="53" t="n">
        <x:v>0</x:v>
      </x:c>
      <x:c r="L95" s="53" t="n">
        <x:v>0</x:v>
      </x:c>
      <x:c r="M95" s="54" t="n">
        <x:v>188421.65072</x:v>
      </x:c>
      <x:c r="N95" s="54" t="n">
        <x:v>200296.2880859617</x:v>
      </x:c>
      <x:c r="O95" s="54" t="n">
        <x:v>147651.61082611978</x:v>
      </x:c>
      <x:c r="P95" s="54" t="n">
        <x:v>52644.67725984193</x:v>
      </x:c>
      <x:c r="Q95" s="55" t="b">
        <x:v>0</x:v>
      </x:c>
      <x:c r="R95" s="56" t="str">
        <x:v>none</x:v>
      </x:c>
      <x:c r="S95" s="57" t="str">
        <x:v>GCAP estimated restatement; Position_Residency may include GCAP interpolation/extrapolation per documentation</x:v>
      </x:c>
      <x:c r="T95" s="57" t="str">
        <x:v>diagonal set to zero + within-sample row normalization</x:v>
      </x:c>
      <x:c r="U95" s="57" t="str">
        <x:v>GCAP Restated Bilateral External Portfolios v1.8</x:v>
      </x:c>
      <x:c r="V95" s="57" t="str">
        <x:v>IMF CPIS</x:v>
      </x:c>
      <x:c r="W95" s="58" t="str">
        <x:v>https://globalcapitalallocation.s3.us-east-2.amazonaws.com/Restated_Bilateral_External_Portfolios_ReadMe.pdf</x:v>
      </x:c>
      <x:c r="X95" s="59" t="n">
        <x:v>0.06820530027789141</x:v>
      </x:c>
      <x:c r="Y95" s="59" t="n">
        <x:v>0.06479115713475235</x:v>
      </x:c>
      <x:c r="Z95" s="59" t="n">
        <x:v>0.07642087223208455</x:v>
      </x:c>
      <x:c r="AA95" s="59" t="n">
        <x:v>0.052404527024848886</x:v>
      </x:c>
    </x:row>
    <x:row r="96">
      <x:c r="A96" s="53" t="str">
        <x:v>UK</x:v>
      </x:c>
      <x:c r="B96" s="53" t="str">
        <x:v>GBR</x:v>
      </x:c>
      <x:c r="C96" s="53" t="str">
        <x:v>United Kingdom</x:v>
      </x:c>
      <x:c r="D96" s="53" t="str">
        <x:v>KR</x:v>
      </x:c>
      <x:c r="E96" s="53" t="str">
        <x:v>KOR</x:v>
      </x:c>
      <x:c r="F96" s="53" t="str">
        <x:v>Korea, Republic of</x:v>
      </x:c>
      <x:c r="G96" s="53" t="n">
        <x:v>2017</x:v>
      </x:c>
      <x:c r="H96" s="53" t="str">
        <x:v>Fund Holdings</x:v>
      </x:c>
      <x:c r="I96" s="53" t="str">
        <x:v>EF+B</x:v>
      </x:c>
      <x:c r="J96" s="53" t="n">
        <x:v>2</x:v>
      </x:c>
      <x:c r="K96" s="53" t="n">
        <x:v>0</x:v>
      </x:c>
      <x:c r="L96" s="53" t="n">
        <x:v>0</x:v>
      </x:c>
      <x:c r="M96" s="54" t="n">
        <x:v>46284.859285</x:v>
      </x:c>
      <x:c r="N96" s="54" t="n">
        <x:v>45869.86265901771</x:v>
      </x:c>
      <x:c r="O96" s="54" t="n">
        <x:v>39661.33689407259</x:v>
      </x:c>
      <x:c r="P96" s="54" t="n">
        <x:v>6208.525764945117</x:v>
      </x:c>
      <x:c r="Q96" s="55" t="b">
        <x:v>0</x:v>
      </x:c>
      <x:c r="R96" s="56" t="str">
        <x:v>none</x:v>
      </x:c>
      <x:c r="S96" s="57" t="str">
        <x:v>GCAP estimated restatement; Position_Residency may include GCAP interpolation/extrapolation per documentation</x:v>
      </x:c>
      <x:c r="T96" s="57" t="str">
        <x:v>diagonal set to zero + within-sample row normalization</x:v>
      </x:c>
      <x:c r="U96" s="57" t="str">
        <x:v>GCAP Restated Bilateral External Portfolios v1.8</x:v>
      </x:c>
      <x:c r="V96" s="57" t="str">
        <x:v>IMF CPIS</x:v>
      </x:c>
      <x:c r="W96" s="58" t="str">
        <x:v>https://globalcapitalallocation.s3.us-east-2.amazonaws.com/Restated_Bilateral_External_Portfolios_ReadMe.pdf</x:v>
      </x:c>
      <x:c r="X96" s="59" t="n">
        <x:v>0.015619699128029999</x:v>
      </x:c>
      <x:c r="Y96" s="59" t="n">
        <x:v>0.015915631666717077</x:v>
      </x:c>
      <x:c r="Z96" s="59" t="n">
        <x:v>0.020527740553436633</x:v>
      </x:c>
      <x:c r="AA96" s="59" t="n">
        <x:v>0.006180204213764306</x:v>
      </x:c>
    </x:row>
    <x:row r="97">
      <x:c r="A97" s="53" t="str">
        <x:v>UK</x:v>
      </x:c>
      <x:c r="B97" s="53" t="str">
        <x:v>GBR</x:v>
      </x:c>
      <x:c r="C97" s="53" t="str">
        <x:v>United Kingdom</x:v>
      </x:c>
      <x:c r="D97" s="53" t="str">
        <x:v>NO</x:v>
      </x:c>
      <x:c r="E97" s="53" t="str">
        <x:v>NOR</x:v>
      </x:c>
      <x:c r="F97" s="53" t="str">
        <x:v>Norway</x:v>
      </x:c>
      <x:c r="G97" s="53" t="n">
        <x:v>2017</x:v>
      </x:c>
      <x:c r="H97" s="53" t="str">
        <x:v>Fund Holdings</x:v>
      </x:c>
      <x:c r="I97" s="53" t="str">
        <x:v>EF+B</x:v>
      </x:c>
      <x:c r="J97" s="53" t="n">
        <x:v>2</x:v>
      </x:c>
      <x:c r="K97" s="53" t="n">
        <x:v>0</x:v>
      </x:c>
      <x:c r="L97" s="53" t="n">
        <x:v>0</x:v>
      </x:c>
      <x:c r="M97" s="54" t="n">
        <x:v>21137.120369999997</x:v>
      </x:c>
      <x:c r="N97" s="54" t="n">
        <x:v>20338.57376897429</x:v>
      </x:c>
      <x:c r="O97" s="54" t="n">
        <x:v>9792.52277245</x:v>
      </x:c>
      <x:c r="P97" s="54" t="n">
        <x:v>10546.050996524287</x:v>
      </x:c>
      <x:c r="Q97" s="55" t="b">
        <x:v>0</x:v>
      </x:c>
      <x:c r="R97" s="56" t="str">
        <x:v>none</x:v>
      </x:c>
      <x:c r="S97" s="57" t="str">
        <x:v>GCAP estimated restatement; Position_Residency may include GCAP interpolation/extrapolation per documentation</x:v>
      </x:c>
      <x:c r="T97" s="57" t="str">
        <x:v>diagonal set to zero + within-sample row normalization</x:v>
      </x:c>
      <x:c r="U97" s="57" t="str">
        <x:v>GCAP Restated Bilateral External Portfolios v1.8</x:v>
      </x:c>
      <x:c r="V97" s="57" t="str">
        <x:v>IMF CPIS</x:v>
      </x:c>
      <x:c r="W97" s="58" t="str">
        <x:v>https://globalcapitalallocation.s3.us-east-2.amazonaws.com/Restated_Bilateral_External_Portfolios_ReadMe.pdf</x:v>
      </x:c>
      <x:c r="X97" s="59" t="n">
        <x:v>0.0069257325954118</x:v>
      </x:c>
      <x:c r="Y97" s="59" t="n">
        <x:v>0.007268264989907974</x:v>
      </x:c>
      <x:c r="Z97" s="59" t="n">
        <x:v>0.005068370926914365</x:v>
      </x:c>
      <x:c r="AA97" s="59" t="n">
        <x:v>0.010497942873217474</x:v>
      </x:c>
    </x:row>
    <x:row r="98">
      <x:c r="A98" s="53" t="str">
        <x:v>UK</x:v>
      </x:c>
      <x:c r="B98" s="53" t="str">
        <x:v>GBR</x:v>
      </x:c>
      <x:c r="C98" s="53" t="str">
        <x:v>United Kingdom</x:v>
      </x:c>
      <x:c r="D98" s="53" t="str">
        <x:v>SG</x:v>
      </x:c>
      <x:c r="E98" s="53" t="str">
        <x:v>SGP</x:v>
      </x:c>
      <x:c r="F98" s="53" t="str">
        <x:v>Singapore</x:v>
      </x:c>
      <x:c r="G98" s="53" t="n">
        <x:v>2017</x:v>
      </x:c>
      <x:c r="H98" s="53" t="str">
        <x:v>Fund Holdings</x:v>
      </x:c>
      <x:c r="I98" s="53" t="str">
        <x:v>EF+B</x:v>
      </x:c>
      <x:c r="J98" s="53" t="n">
        <x:v>2</x:v>
      </x:c>
      <x:c r="K98" s="53" t="n">
        <x:v>0</x:v>
      </x:c>
      <x:c r="L98" s="53" t="n">
        <x:v>0</x:v>
      </x:c>
      <x:c r="M98" s="54" t="n">
        <x:v>27704.52006</x:v>
      </x:c>
      <x:c r="N98" s="54" t="n">
        <x:v>21336.75802334062</x:v>
      </x:c>
      <x:c r="O98" s="54" t="n">
        <x:v>14694.118285179138</x:v>
      </x:c>
      <x:c r="P98" s="54" t="n">
        <x:v>6642.639738161482</x:v>
      </x:c>
      <x:c r="Q98" s="55" t="b">
        <x:v>0</x:v>
      </x:c>
      <x:c r="R98" s="56" t="str">
        <x:v>none</x:v>
      </x:c>
      <x:c r="S98" s="57" t="str">
        <x:v>GCAP estimated restatement; Position_Residency may include GCAP interpolation/extrapolation per documentation</x:v>
      </x:c>
      <x:c r="T98" s="57" t="str">
        <x:v>diagonal set to zero + within-sample row normalization</x:v>
      </x:c>
      <x:c r="U98" s="57" t="str">
        <x:v>GCAP Restated Bilateral External Portfolios v1.8</x:v>
      </x:c>
      <x:c r="V98" s="57" t="str">
        <x:v>IMF CPIS</x:v>
      </x:c>
      <x:c r="W98" s="58" t="str">
        <x:v>https://globalcapitalallocation.s3.us-east-2.amazonaws.com/Restated_Bilateral_External_Portfolios_ReadMe.pdf</x:v>
      </x:c>
      <x:c r="X98" s="59" t="n">
        <x:v>0.00726563633228235</x:v>
      </x:c>
      <x:c r="Y98" s="59" t="n">
        <x:v>0.00952654806754555</x:v>
      </x:c>
      <x:c r="Z98" s="59" t="n">
        <x:v>0.00760531720413959</x:v>
      </x:c>
      <x:c r="AA98" s="59" t="n">
        <x:v>0.0066123378809343995</x:v>
      </x:c>
    </x:row>
    <x:row r="99">
      <x:c r="A99" s="53" t="str">
        <x:v>UK</x:v>
      </x:c>
      <x:c r="B99" s="53" t="str">
        <x:v>GBR</x:v>
      </x:c>
      <x:c r="C99" s="53" t="str">
        <x:v>United Kingdom</x:v>
      </x:c>
      <x:c r="D99" s="53" t="str">
        <x:v>TR</x:v>
      </x:c>
      <x:c r="E99" s="53" t="str">
        <x:v>TUR</x:v>
      </x:c>
      <x:c r="F99" s="53" t="str">
        <x:v>Turkey</x:v>
      </x:c>
      <x:c r="G99" s="53" t="n">
        <x:v>2017</x:v>
      </x:c>
      <x:c r="H99" s="53" t="str">
        <x:v>Fund Holdings</x:v>
      </x:c>
      <x:c r="I99" s="53" t="str">
        <x:v>EF+B</x:v>
      </x:c>
      <x:c r="J99" s="53" t="n">
        <x:v>2</x:v>
      </x:c>
      <x:c r="K99" s="53" t="n">
        <x:v>0</x:v>
      </x:c>
      <x:c r="L99" s="53" t="n">
        <x:v>0</x:v>
      </x:c>
      <x:c r="M99" s="54" t="n">
        <x:v>8713.971695</x:v>
      </x:c>
      <x:c r="N99" s="54" t="n">
        <x:v>8609.02940663863</x:v>
      </x:c>
      <x:c r="O99" s="54" t="n">
        <x:v>3905.7238159179688</x:v>
      </x:c>
      <x:c r="P99" s="54" t="n">
        <x:v>4703.305590720662</x:v>
      </x:c>
      <x:c r="Q99" s="55" t="b">
        <x:v>0</x:v>
      </x:c>
      <x:c r="R99" s="56" t="str">
        <x:v>none</x:v>
      </x:c>
      <x:c r="S99" s="57" t="str">
        <x:v>GCAP estimated restatement; Position_Residency may include GCAP interpolation/extrapolation per documentation</x:v>
      </x:c>
      <x:c r="T99" s="57" t="str">
        <x:v>diagonal set to zero + within-sample row normalization</x:v>
      </x:c>
      <x:c r="U99" s="57" t="str">
        <x:v>GCAP Restated Bilateral External Portfolios v1.8</x:v>
      </x:c>
      <x:c r="V99" s="57" t="str">
        <x:v>IMF CPIS</x:v>
      </x:c>
      <x:c r="W99" s="58" t="str">
        <x:v>https://globalcapitalallocation.s3.us-east-2.amazonaws.com/Restated_Bilateral_External_Portfolios_ReadMe.pdf</x:v>
      </x:c>
      <x:c r="X99" s="59" t="n">
        <x:v>0.002931564241115556</x:v>
      </x:c>
      <x:c r="Y99" s="59" t="n">
        <x:v>0.0029964088903855525</x:v>
      </x:c>
      <x:c r="Z99" s="59" t="n">
        <x:v>0.0020215073783487326</x:v>
      </x:c>
      <x:c r="AA99" s="59" t="n">
        <x:v>0.004681850431307665</x:v>
      </x:c>
    </x:row>
    <x:row r="100">
      <x:c r="A100" s="53" t="str">
        <x:v>UK</x:v>
      </x:c>
      <x:c r="B100" s="53" t="str">
        <x:v>GBR</x:v>
      </x:c>
      <x:c r="C100" s="53" t="str">
        <x:v>United Kingdom</x:v>
      </x:c>
      <x:c r="D100" s="53" t="str">
        <x:v>US</x:v>
      </x:c>
      <x:c r="E100" s="53" t="str">
        <x:v>USA</x:v>
      </x:c>
      <x:c r="F100" s="53" t="str">
        <x:v>United States</x:v>
      </x:c>
      <x:c r="G100" s="53" t="n">
        <x:v>2017</x:v>
      </x:c>
      <x:c r="H100" s="53" t="str">
        <x:v>Fund Holdings</x:v>
      </x:c>
      <x:c r="I100" s="53" t="str">
        <x:v>EF+B</x:v>
      </x:c>
      <x:c r="J100" s="53" t="n">
        <x:v>2</x:v>
      </x:c>
      <x:c r="K100" s="53" t="n">
        <x:v>0</x:v>
      </x:c>
      <x:c r="L100" s="53" t="n">
        <x:v>0</x:v>
      </x:c>
      <x:c r="M100" s="54" t="n">
        <x:v>1232608.4761299998</x:v>
      </x:c>
      <x:c r="N100" s="54" t="n">
        <x:v>1275496.8198337883</x:v>
      </x:c>
      <x:c r="O100" s="54" t="n">
        <x:v>840702.6680005044</x:v>
      </x:c>
      <x:c r="P100" s="54" t="n">
        <x:v>434794.15183328395</x:v>
      </x:c>
      <x:c r="Q100" s="55" t="b">
        <x:v>0</x:v>
      </x:c>
      <x:c r="R100" s="56" t="str">
        <x:v>none</x:v>
      </x:c>
      <x:c r="S100" s="57" t="str">
        <x:v>GCAP estimated restatement; Position_Residency may include GCAP interpolation/extrapolation per documentation</x:v>
      </x:c>
      <x:c r="T100" s="57" t="str">
        <x:v>diagonal set to zero + within-sample row normalization</x:v>
      </x:c>
      <x:c r="U100" s="57" t="str">
        <x:v>GCAP Restated Bilateral External Portfolios v1.8</x:v>
      </x:c>
      <x:c r="V100" s="57" t="str">
        <x:v>IMF CPIS</x:v>
      </x:c>
      <x:c r="W100" s="58" t="str">
        <x:v>https://globalcapitalallocation.s3.us-east-2.amazonaws.com/Restated_Bilateral_External_Portfolios_ReadMe.pdf</x:v>
      </x:c>
      <x:c r="X100" s="59" t="n">
        <x:v>0.43433477690271993</x:v>
      </x:c>
      <x:c r="Y100" s="59" t="n">
        <x:v>0.423847945060432</x:v>
      </x:c>
      <x:c r="Z100" s="59" t="n">
        <x:v>0.4351271944611505</x:v>
      </x:c>
      <x:c r="AA100" s="59" t="n">
        <x:v>0.43281074300315686</x:v>
      </x:c>
    </x:row>
    <x:row r="101">
      <x:c r="A101" s="53" t="str">
        <x:v>UK</x:v>
      </x:c>
      <x:c r="B101" s="53" t="str">
        <x:v>GBR</x:v>
      </x:c>
      <x:c r="C101" s="53" t="str">
        <x:v>United Kingdom</x:v>
      </x:c>
      <x:c r="D101" s="53" t="str">
        <x:v>ZA</x:v>
      </x:c>
      <x:c r="E101" s="53" t="str">
        <x:v>ZAF</x:v>
      </x:c>
      <x:c r="F101" s="53" t="str">
        <x:v>South Africa</x:v>
      </x:c>
      <x:c r="G101" s="53" t="n">
        <x:v>2017</x:v>
      </x:c>
      <x:c r="H101" s="53" t="str">
        <x:v>Fund Holdings</x:v>
      </x:c>
      <x:c r="I101" s="53" t="str">
        <x:v>EF+B</x:v>
      </x:c>
      <x:c r="J101" s="53" t="n">
        <x:v>2</x:v>
      </x:c>
      <x:c r="K101" s="53" t="n">
        <x:v>0</x:v>
      </x:c>
      <x:c r="L101" s="53" t="n">
        <x:v>0</x:v>
      </x:c>
      <x:c r="M101" s="54" t="n">
        <x:v>17803.833319999998</x:v>
      </x:c>
      <x:c r="N101" s="54" t="n">
        <x:v>18599.795065282215</x:v>
      </x:c>
      <x:c r="O101" s="54" t="n">
        <x:v>11829.927330529914</x:v>
      </x:c>
      <x:c r="P101" s="54" t="n">
        <x:v>6769.8677347523</x:v>
      </x:c>
      <x:c r="Q101" s="55" t="b">
        <x:v>0</x:v>
      </x:c>
      <x:c r="R101" s="56" t="str">
        <x:v>none</x:v>
      </x:c>
      <x:c r="S101" s="57" t="str">
        <x:v>GCAP estimated restatement; Position_Residency may include GCAP interpolation/extrapolation per documentation</x:v>
      </x:c>
      <x:c r="T101" s="57" t="str">
        <x:v>diagonal set to zero + within-sample row normalization</x:v>
      </x:c>
      <x:c r="U101" s="57" t="str">
        <x:v>GCAP Restated Bilateral External Portfolios v1.8</x:v>
      </x:c>
      <x:c r="V101" s="57" t="str">
        <x:v>IMF CPIS</x:v>
      </x:c>
      <x:c r="W101" s="58" t="str">
        <x:v>https://globalcapitalallocation.s3.us-east-2.amazonaws.com/Restated_Bilateral_External_Portfolios_ReadMe.pdf</x:v>
      </x:c>
      <x:c r="X101" s="59" t="n">
        <x:v>0.006333640127121906</x:v>
      </x:c>
      <x:c r="Y101" s="59" t="n">
        <x:v>0.006122072266266469</x:v>
      </x:c>
      <x:c r="Z101" s="59" t="n">
        <x:v>0.006122881829619316</x:v>
      </x:c>
      <x:c r="AA101" s="59" t="n">
        <x:v>0.006738985499130491</x:v>
      </x:c>
    </x:row>
    <x:row r="102">
      <x:c r="A102" s="53" t="str">
        <x:v>JP</x:v>
      </x:c>
      <x:c r="B102" s="53" t="str">
        <x:v>JPN</x:v>
      </x:c>
      <x:c r="C102" s="53" t="str">
        <x:v>Japan</x:v>
      </x:c>
      <x:c r="D102" s="53" t="str">
        <x:v>AU</x:v>
      </x:c>
      <x:c r="E102" s="53" t="str">
        <x:v>AUS</x:v>
      </x:c>
      <x:c r="F102" s="53" t="str">
        <x:v>Australia</x:v>
      </x:c>
      <x:c r="G102" s="53" t="n">
        <x:v>2017</x:v>
      </x:c>
      <x:c r="H102" s="53" t="str">
        <x:v>Issuance</x:v>
      </x:c>
      <x:c r="I102" s="53" t="str">
        <x:v>EF+B</x:v>
      </x:c>
      <x:c r="J102" s="53" t="n">
        <x:v>2</x:v>
      </x:c>
      <x:c r="K102" s="53" t="n">
        <x:v>0</x:v>
      </x:c>
      <x:c r="L102" s="53" t="n">
        <x:v>0</x:v>
      </x:c>
      <x:c r="M102" s="54" t="n">
        <x:v>146536.3703489595</x:v>
      </x:c>
      <x:c r="N102" s="54" t="n">
        <x:v>141093.20138492694</x:v>
      </x:c>
      <x:c r="O102" s="54" t="n">
        <x:v>28201.908532107973</x:v>
      </x:c>
      <x:c r="P102" s="54" t="n">
        <x:v>112891.29285281897</x:v>
      </x:c>
      <x:c r="Q102" s="55" t="b">
        <x:v>0</x:v>
      </x:c>
      <x:c r="R102" s="56" t="str">
        <x:v>none</x:v>
      </x:c>
      <x:c r="S102" s="57" t="str">
        <x:v>GCAP estimated restatement; Position_Residency may include GCAP interpolation/extrapolation per documentation</x:v>
      </x:c>
      <x:c r="T102" s="57" t="str">
        <x:v>diagonal set to zero + within-sample row normalization</x:v>
      </x:c>
      <x:c r="U102" s="57" t="str">
        <x:v>GCAP Restated Bilateral External Portfolios v1.8</x:v>
      </x:c>
      <x:c r="V102" s="57" t="str">
        <x:v>IMF CPIS</x:v>
      </x:c>
      <x:c r="W102" s="58" t="str">
        <x:v>https://globalcapitalallocation.s3.us-east-2.amazonaws.com/Restated_Bilateral_External_Portfolios_ReadMe.pdf</x:v>
      </x:c>
      <x:c r="X102" s="59" t="n">
        <x:v>0.038758097594963466</x:v>
      </x:c>
      <x:c r="Y102" s="59" t="n">
        <x:v>0.04964044664828237</x:v>
      </x:c>
      <x:c r="Z102" s="59" t="n">
        <x:v>0.019130463081262695</x:v>
      </x:c>
      <x:c r="AA102" s="59" t="n">
        <x:v>0.05211572463131405</x:v>
      </x:c>
    </x:row>
    <x:row r="103">
      <x:c r="A103" s="53" t="str">
        <x:v>JP</x:v>
      </x:c>
      <x:c r="B103" s="53" t="str">
        <x:v>JPN</x:v>
      </x:c>
      <x:c r="C103" s="53" t="str">
        <x:v>Japan</x:v>
      </x:c>
      <x:c r="D103" s="53" t="str">
        <x:v>BR</x:v>
      </x:c>
      <x:c r="E103" s="53" t="str">
        <x:v>BRA</x:v>
      </x:c>
      <x:c r="F103" s="53" t="str">
        <x:v>Brazil</x:v>
      </x:c>
      <x:c r="G103" s="53" t="n">
        <x:v>2017</x:v>
      </x:c>
      <x:c r="H103" s="53" t="str">
        <x:v>Issuance</x:v>
      </x:c>
      <x:c r="I103" s="53" t="str">
        <x:v>EF+B</x:v>
      </x:c>
      <x:c r="J103" s="53" t="n">
        <x:v>2</x:v>
      </x:c>
      <x:c r="K103" s="53" t="n">
        <x:v>0</x:v>
      </x:c>
      <x:c r="L103" s="53" t="n">
        <x:v>0</x:v>
      </x:c>
      <x:c r="M103" s="54" t="n">
        <x:v>14474.543977147921</x:v>
      </x:c>
      <x:c r="N103" s="54" t="n">
        <x:v>24877.800117241197</x:v>
      </x:c>
      <x:c r="O103" s="54" t="n">
        <x:v>5527.156360911183</x:v>
      </x:c>
      <x:c r="P103" s="54" t="n">
        <x:v>19350.643756330013</x:v>
      </x:c>
      <x:c r="Q103" s="55" t="b">
        <x:v>0</x:v>
      </x:c>
      <x:c r="R103" s="56" t="str">
        <x:v>none</x:v>
      </x:c>
      <x:c r="S103" s="57" t="str">
        <x:v>GCAP estimated restatement; Position_Residency may include GCAP interpolation/extrapolation per documentation</x:v>
      </x:c>
      <x:c r="T103" s="57" t="str">
        <x:v>diagonal set to zero + within-sample row normalization</x:v>
      </x:c>
      <x:c r="U103" s="57" t="str">
        <x:v>GCAP Restated Bilateral External Portfolios v1.8</x:v>
      </x:c>
      <x:c r="V103" s="57" t="str">
        <x:v>IMF CPIS</x:v>
      </x:c>
      <x:c r="W103" s="58" t="str">
        <x:v>https://globalcapitalallocation.s3.us-east-2.amazonaws.com/Restated_Bilateral_External_Portfolios_ReadMe.pdf</x:v>
      </x:c>
      <x:c r="X103" s="59" t="n">
        <x:v>0.006833895577019883</x:v>
      </x:c>
      <x:c r="Y103" s="59" t="n">
        <x:v>0.004903375362340073</x:v>
      </x:c>
      <x:c r="Z103" s="59" t="n">
        <x:v>0.0037492874138782355</x:v>
      </x:c>
      <x:c r="AA103" s="59" t="n">
        <x:v>0.008933132006543136</x:v>
      </x:c>
    </x:row>
    <x:row r="104">
      <x:c r="A104" s="53" t="str">
        <x:v>JP</x:v>
      </x:c>
      <x:c r="B104" s="53" t="str">
        <x:v>JPN</x:v>
      </x:c>
      <x:c r="C104" s="53" t="str">
        <x:v>Japan</x:v>
      </x:c>
      <x:c r="D104" s="53" t="str">
        <x:v>CA</x:v>
      </x:c>
      <x:c r="E104" s="53" t="str">
        <x:v>CAN</x:v>
      </x:c>
      <x:c r="F104" s="53" t="str">
        <x:v>Canada</x:v>
      </x:c>
      <x:c r="G104" s="53" t="n">
        <x:v>2017</x:v>
      </x:c>
      <x:c r="H104" s="53" t="str">
        <x:v>Issuance</x:v>
      </x:c>
      <x:c r="I104" s="53" t="str">
        <x:v>EF+B</x:v>
      </x:c>
      <x:c r="J104" s="53" t="n">
        <x:v>2</x:v>
      </x:c>
      <x:c r="K104" s="53" t="n">
        <x:v>0</x:v>
      </x:c>
      <x:c r="L104" s="53" t="n">
        <x:v>0</x:v>
      </x:c>
      <x:c r="M104" s="54" t="n">
        <x:v>71700.98650012401</x:v>
      </x:c>
      <x:c r="N104" s="54" t="n">
        <x:v>80116.60430766492</x:v>
      </x:c>
      <x:c r="O104" s="54" t="n">
        <x:v>25515.46238912492</x:v>
      </x:c>
      <x:c r="P104" s="54" t="n">
        <x:v>54601.14191854</x:v>
      </x:c>
      <x:c r="Q104" s="55" t="b">
        <x:v>0</x:v>
      </x:c>
      <x:c r="R104" s="56" t="str">
        <x:v>none</x:v>
      </x:c>
      <x:c r="S104" s="57" t="str">
        <x:v>GCAP estimated restatement; Position_Residency may include GCAP interpolation/extrapolation per documentation</x:v>
      </x:c>
      <x:c r="T104" s="57" t="str">
        <x:v>diagonal set to zero + within-sample row normalization</x:v>
      </x:c>
      <x:c r="U104" s="57" t="str">
        <x:v>GCAP Restated Bilateral External Portfolios v1.8</x:v>
      </x:c>
      <x:c r="V104" s="57" t="str">
        <x:v>IMF CPIS</x:v>
      </x:c>
      <x:c r="W104" s="58" t="str">
        <x:v>https://globalcapitalallocation.s3.us-east-2.amazonaws.com/Restated_Bilateral_External_Portfolios_ReadMe.pdf</x:v>
      </x:c>
      <x:c r="X104" s="59" t="n">
        <x:v>0.02200791489777107</x:v>
      </x:c>
      <x:c r="Y104" s="59" t="n">
        <x:v>0.024289321391765276</x:v>
      </x:c>
      <x:c r="Z104" s="59" t="n">
        <x:v>0.017308141067146992</x:v>
      </x:c>
      <x:c r="AA104" s="59" t="n">
        <x:v>0.025206355644202132</x:v>
      </x:c>
    </x:row>
    <x:row r="105">
      <x:c r="A105" s="53" t="str">
        <x:v>JP</x:v>
      </x:c>
      <x:c r="B105" s="53" t="str">
        <x:v>JPN</x:v>
      </x:c>
      <x:c r="C105" s="53" t="str">
        <x:v>Japan</x:v>
      </x:c>
      <x:c r="D105" s="53" t="str">
        <x:v>CH</x:v>
      </x:c>
      <x:c r="E105" s="53" t="str">
        <x:v>CHE</x:v>
      </x:c>
      <x:c r="F105" s="53" t="str">
        <x:v>Switzerland</x:v>
      </x:c>
      <x:c r="G105" s="53" t="n">
        <x:v>2017</x:v>
      </x:c>
      <x:c r="H105" s="53" t="str">
        <x:v>Issuance</x:v>
      </x:c>
      <x:c r="I105" s="53" t="str">
        <x:v>EF+B</x:v>
      </x:c>
      <x:c r="J105" s="53" t="n">
        <x:v>2</x:v>
      </x:c>
      <x:c r="K105" s="53" t="n">
        <x:v>0</x:v>
      </x:c>
      <x:c r="L105" s="53" t="n">
        <x:v>0</x:v>
      </x:c>
      <x:c r="M105" s="54" t="n">
        <x:v>32739.770445243572</x:v>
      </x:c>
      <x:c r="N105" s="54" t="n">
        <x:v>58005.347418395264</x:v>
      </x:c>
      <x:c r="O105" s="54" t="n">
        <x:v>28421.863307533244</x:v>
      </x:c>
      <x:c r="P105" s="54" t="n">
        <x:v>29583.484110862017</x:v>
      </x:c>
      <x:c r="Q105" s="55" t="b">
        <x:v>0</x:v>
      </x:c>
      <x:c r="R105" s="56" t="str">
        <x:v>none</x:v>
      </x:c>
      <x:c r="S105" s="57" t="str">
        <x:v>GCAP estimated restatement; Position_Residency may include GCAP interpolation/extrapolation per documentation</x:v>
      </x:c>
      <x:c r="T105" s="57" t="str">
        <x:v>diagonal set to zero + within-sample row normalization</x:v>
      </x:c>
      <x:c r="U105" s="57" t="str">
        <x:v>GCAP Restated Bilateral External Portfolios v1.8</x:v>
      </x:c>
      <x:c r="V105" s="57" t="str">
        <x:v>IMF CPIS</x:v>
      </x:c>
      <x:c r="W105" s="58" t="str">
        <x:v>https://globalcapitalallocation.s3.us-east-2.amazonaws.com/Restated_Bilateral_External_Portfolios_ReadMe.pdf</x:v>
      </x:c>
      <x:c r="X105" s="59" t="n">
        <x:v>0.01593398472927484</x:v>
      </x:c>
      <x:c r="Y105" s="59" t="n">
        <x:v>0.011090876785018345</x:v>
      </x:c>
      <x:c r="Z105" s="59" t="n">
        <x:v>0.019279667051129837</x:v>
      </x:c>
      <x:c r="AA105" s="59" t="n">
        <x:v>0.013657073744089384</x:v>
      </x:c>
    </x:row>
    <x:row r="106">
      <x:c r="A106" s="53" t="str">
        <x:v>JP</x:v>
      </x:c>
      <x:c r="B106" s="53" t="str">
        <x:v>JPN</x:v>
      </x:c>
      <x:c r="C106" s="53" t="str">
        <x:v>Japan</x:v>
      </x:c>
      <x:c r="D106" s="53" t="str">
        <x:v>CN</x:v>
      </x:c>
      <x:c r="E106" s="53" t="str">
        <x:v>CHN</x:v>
      </x:c>
      <x:c r="F106" s="53" t="str">
        <x:v>China</x:v>
      </x:c>
      <x:c r="G106" s="53" t="n">
        <x:v>2017</x:v>
      </x:c>
      <x:c r="H106" s="53" t="str">
        <x:v>Issuance</x:v>
      </x:c>
      <x:c r="I106" s="53" t="str">
        <x:v>EF+B</x:v>
      </x:c>
      <x:c r="J106" s="53" t="n">
        <x:v>2</x:v>
      </x:c>
      <x:c r="K106" s="53" t="n">
        <x:v>0</x:v>
      </x:c>
      <x:c r="L106" s="53" t="n">
        <x:v>0</x:v>
      </x:c>
      <x:c r="M106" s="54" t="n">
        <x:v>22850.82185181574</x:v>
      </x:c>
      <x:c r="N106" s="54" t="n">
        <x:v>558046.4879736078</x:v>
      </x:c>
      <x:c r="O106" s="54" t="n">
        <x:v>520696.2891328035</x:v>
      </x:c>
      <x:c r="P106" s="54" t="n">
        <x:v>37350.1988408044</x:v>
      </x:c>
      <x:c r="Q106" s="55" t="b">
        <x:v>0</x:v>
      </x:c>
      <x:c r="R106" s="56" t="str">
        <x:v>none</x:v>
      </x:c>
      <x:c r="S106" s="57" t="str">
        <x:v>GCAP estimated restatement; Position_Residency may include GCAP interpolation/extrapolation per documentation</x:v>
      </x:c>
      <x:c r="T106" s="57" t="str">
        <x:v>diagonal set to zero + within-sample row normalization</x:v>
      </x:c>
      <x:c r="U106" s="57" t="str">
        <x:v>GCAP Restated Bilateral External Portfolios v1.8</x:v>
      </x:c>
      <x:c r="V106" s="57" t="str">
        <x:v>IMF CPIS</x:v>
      </x:c>
      <x:c r="W106" s="58" t="str">
        <x:v>https://globalcapitalallocation.s3.us-east-2.amazonaws.com/Restated_Bilateral_External_Portfolios_ReadMe.pdf</x:v>
      </x:c>
      <x:c r="X106" s="59" t="n">
        <x:v>0.15329456012838275</x:v>
      </x:c>
      <x:c r="Y106" s="59" t="n">
        <x:v>0.007740911012762223</x:v>
      </x:c>
      <x:c r="Z106" s="59" t="n">
        <x:v>0.35320875977116106</x:v>
      </x:c>
      <x:c r="AA106" s="59" t="n">
        <x:v>0.017242540399018746</x:v>
      </x:c>
    </x:row>
    <x:row r="107">
      <x:c r="A107" s="53" t="str">
        <x:v>JP</x:v>
      </x:c>
      <x:c r="B107" s="53" t="str">
        <x:v>JPN</x:v>
      </x:c>
      <x:c r="C107" s="53" t="str">
        <x:v>Japan</x:v>
      </x:c>
      <x:c r="D107" s="53" t="str">
        <x:v>EA</x:v>
      </x:c>
      <x:c r="E107" s="53" t="str">
        <x:v>EMU</x:v>
      </x:c>
      <x:c r="F107" s="53" t="str">
        <x:v>European Monetary Union</x:v>
      </x:c>
      <x:c r="G107" s="53" t="n">
        <x:v>2017</x:v>
      </x:c>
      <x:c r="H107" s="53" t="str">
        <x:v>Issuance</x:v>
      </x:c>
      <x:c r="I107" s="53" t="str">
        <x:v>EF+B</x:v>
      </x:c>
      <x:c r="J107" s="53" t="n">
        <x:v>38</x:v>
      </x:c>
      <x:c r="K107" s="53" t="n">
        <x:v>0</x:v>
      </x:c>
      <x:c r="L107" s="53" t="n">
        <x:v>0</x:v>
      </x:c>
      <x:c r="M107" s="54" t="n">
        <x:v>820345.1996269599</x:v>
      </x:c>
      <x:c r="N107" s="54" t="n">
        <x:v>828610.2403088185</x:v>
      </x:c>
      <x:c r="O107" s="54" t="n">
        <x:v>223813.5841390036</x:v>
      </x:c>
      <x:c r="P107" s="54" t="n">
        <x:v>604796.656169815</x:v>
      </x:c>
      <x:c r="Q107" s="55" t="b">
        <x:v>0</x:v>
      </x:c>
      <x:c r="R107" s="56" t="str">
        <x:v>none</x:v>
      </x:c>
      <x:c r="S107" s="57" t="str">
        <x:v>GCAP estimated restatement; Position_Residency may include GCAP interpolation/extrapolation per documentation</x:v>
      </x:c>
      <x:c r="T107" s="57" t="str">
        <x:v>EA issuer aggregation + diagonal set to zero + within-sample row normalization</x:v>
      </x:c>
      <x:c r="U107" s="57" t="str">
        <x:v>GCAP Restated Bilateral External Portfolios v1.8</x:v>
      </x:c>
      <x:c r="V107" s="57" t="str">
        <x:v>IMF CPIS</x:v>
      </x:c>
      <x:c r="W107" s="58" t="str">
        <x:v>https://globalcapitalallocation.s3.us-east-2.amazonaws.com/Restated_Bilateral_External_Portfolios_ReadMe.pdf</x:v>
      </x:c>
      <x:c r="X107" s="59" t="n">
        <x:v>0.227618030116554</x:v>
      </x:c>
      <x:c r="Y107" s="59" t="n">
        <x:v>0.2778989408450692</x:v>
      </x:c>
      <x:c r="Z107" s="59" t="n">
        <x:v>0.15182155149470142</x:v>
      </x:c>
      <x:c r="AA107" s="59" t="n">
        <x:v>0.2792014795328703</x:v>
      </x:c>
    </x:row>
    <x:row r="108">
      <x:c r="A108" s="53" t="str">
        <x:v>JP</x:v>
      </x:c>
      <x:c r="B108" s="53" t="str">
        <x:v>JPN</x:v>
      </x:c>
      <x:c r="C108" s="53" t="str">
        <x:v>Japan</x:v>
      </x:c>
      <x:c r="D108" s="53" t="str">
        <x:v>UK</x:v>
      </x:c>
      <x:c r="E108" s="53" t="str">
        <x:v>GBR</x:v>
      </x:c>
      <x:c r="F108" s="53" t="str">
        <x:v>United Kingdom</x:v>
      </x:c>
      <x:c r="G108" s="53" t="n">
        <x:v>2017</x:v>
      </x:c>
      <x:c r="H108" s="53" t="str">
        <x:v>Issuance</x:v>
      </x:c>
      <x:c r="I108" s="53" t="str">
        <x:v>EF+B</x:v>
      </x:c>
      <x:c r="J108" s="53" t="n">
        <x:v>2</x:v>
      </x:c>
      <x:c r="K108" s="53" t="n">
        <x:v>0</x:v>
      </x:c>
      <x:c r="L108" s="53" t="n">
        <x:v>0</x:v>
      </x:c>
      <x:c r="M108" s="54" t="n">
        <x:v>168228.4515151871</x:v>
      </x:c>
      <x:c r="N108" s="54" t="n">
        <x:v>187649.2303282847</x:v>
      </x:c>
      <x:c r="O108" s="54" t="n">
        <x:v>52981.02018000971</x:v>
      </x:c>
      <x:c r="P108" s="54" t="n">
        <x:v>134668.210148275</x:v>
      </x:c>
      <x:c r="Q108" s="55" t="b">
        <x:v>0</x:v>
      </x:c>
      <x:c r="R108" s="56" t="str">
        <x:v>none</x:v>
      </x:c>
      <x:c r="S108" s="57" t="str">
        <x:v>GCAP estimated restatement; Position_Residency may include GCAP interpolation/extrapolation per documentation</x:v>
      </x:c>
      <x:c r="T108" s="57" t="str">
        <x:v>diagonal set to zero + within-sample row normalization</x:v>
      </x:c>
      <x:c r="U108" s="57" t="str">
        <x:v>GCAP Restated Bilateral External Portfolios v1.8</x:v>
      </x:c>
      <x:c r="V108" s="57" t="str">
        <x:v>IMF CPIS</x:v>
      </x:c>
      <x:c r="W108" s="58" t="str">
        <x:v>https://globalcapitalallocation.s3.us-east-2.amazonaws.com/Restated_Bilateral_External_Portfolios_ReadMe.pdf</x:v>
      </x:c>
      <x:c r="X108" s="59" t="n">
        <x:v>0.05154697116015972</x:v>
      </x:c>
      <x:c r="Y108" s="59" t="n">
        <x:v>0.05698882435995932</x:v>
      </x:c>
      <x:c r="Z108" s="59" t="n">
        <x:v>0.03593910849712095</x:v>
      </x:c>
      <x:c r="AA108" s="59" t="n">
        <x:v>0.06216893419609889</x:v>
      </x:c>
    </x:row>
    <x:row r="109">
      <x:c r="A109" s="53" t="str">
        <x:v>JP</x:v>
      </x:c>
      <x:c r="B109" s="53" t="str">
        <x:v>JPN</x:v>
      </x:c>
      <x:c r="C109" s="53" t="str">
        <x:v>Japan</x:v>
      </x:c>
      <x:c r="D109" s="53" t="str">
        <x:v>JP</x:v>
      </x:c>
      <x:c r="E109" s="53" t="str">
        <x:v>JPN</x:v>
      </x:c>
      <x:c r="F109" s="53" t="str">
        <x:v>Japan</x:v>
      </x:c>
      <x:c r="G109" s="53" t="n">
        <x:v>2017</x:v>
      </x:c>
      <x:c r="H109" s="53" t="str">
        <x:v>Issuance</x:v>
      </x:c>
      <x:c r="I109" s="53" t="str">
        <x:v>EF+B</x:v>
      </x:c>
      <x:c r="J109" s="53" t="n">
        <x:v>2</x:v>
      </x:c>
      <x:c r="K109" s="53" t="n">
        <x:v>0</x:v>
      </x:c>
      <x:c r="L109" s="53" t="n">
        <x:v>0</x:v>
      </x:c>
      <x:c r="M109" s="54" t="n">
        <x:v>0</x:v>
      </x:c>
      <x:c r="N109" s="54" t="n">
        <x:v>18145.61290939647</x:v>
      </x:c>
      <x:c r="O109" s="54" t="n">
        <x:v>3854.578177635848</x:v>
      </x:c>
      <x:c r="P109" s="54" t="n">
        <x:v>14291.034731760621</x:v>
      </x:c>
      <x:c r="Q109" s="55" t="b">
        <x:v>1</x:v>
      </x:c>
      <x:c r="R109" s="56" t="str">
        <x:v>none</x:v>
      </x:c>
      <x:c r="S109" s="57" t="str">
        <x:v>GCAP estimated restatement; Position_Residency may include GCAP interpolation/extrapolation per documentation</x:v>
      </x:c>
      <x:c r="T109" s="57" t="str">
        <x:v>EA issuer aggregation + diagonal set to zero + within-sample row normalization</x:v>
      </x:c>
      <x:c r="U109" s="57" t="str">
        <x:v>GCAP Restated Bilateral External Portfolios v1.8</x:v>
      </x:c>
      <x:c r="V109" s="57" t="str">
        <x:v>IMF CPIS</x:v>
      </x:c>
      <x:c r="W109" s="58" t="str">
        <x:v>https://globalcapitalallocation.s3.us-east-2.amazonaws.com/Restated_Bilateral_External_Portfolios_ReadMe.pdf</x:v>
      </x:c>
      <x:c r="X109" s="59" t="n">
        <x:v>0</x:v>
      </x:c>
      <x:c r="Y109" s="59" t="n">
        <x:v>0</x:v>
      </x:c>
      <x:c r="Z109" s="59" t="n">
        <x:v>0</x:v>
      </x:c>
      <x:c r="AA109" s="59" t="n">
        <x:v>0</x:v>
      </x:c>
    </x:row>
    <x:row r="110">
      <x:c r="A110" s="53" t="str">
        <x:v>JP</x:v>
      </x:c>
      <x:c r="B110" s="53" t="str">
        <x:v>JPN</x:v>
      </x:c>
      <x:c r="C110" s="53" t="str">
        <x:v>Japan</x:v>
      </x:c>
      <x:c r="D110" s="53" t="str">
        <x:v>KR</x:v>
      </x:c>
      <x:c r="E110" s="53" t="str">
        <x:v>KOR</x:v>
      </x:c>
      <x:c r="F110" s="53" t="str">
        <x:v>Korea, Republic of</x:v>
      </x:c>
      <x:c r="G110" s="53" t="n">
        <x:v>2017</x:v>
      </x:c>
      <x:c r="H110" s="53" t="str">
        <x:v>Issuance</x:v>
      </x:c>
      <x:c r="I110" s="53" t="str">
        <x:v>EF+B</x:v>
      </x:c>
      <x:c r="J110" s="53" t="n">
        <x:v>2</x:v>
      </x:c>
      <x:c r="K110" s="53" t="n">
        <x:v>0</x:v>
      </x:c>
      <x:c r="L110" s="53" t="n">
        <x:v>0</x:v>
      </x:c>
      <x:c r="M110" s="54" t="n">
        <x:v>26668.647773585</x:v>
      </x:c>
      <x:c r="N110" s="54" t="n">
        <x:v>28262.260448589514</x:v>
      </x:c>
      <x:c r="O110" s="54" t="n">
        <x:v>13597.563037648391</x:v>
      </x:c>
      <x:c r="P110" s="54" t="n">
        <x:v>14664.697410941124</x:v>
      </x:c>
      <x:c r="Q110" s="55" t="b">
        <x:v>0</x:v>
      </x:c>
      <x:c r="R110" s="56" t="str">
        <x:v>none</x:v>
      </x:c>
      <x:c r="S110" s="57" t="str">
        <x:v>GCAP estimated restatement; Position_Residency may include GCAP interpolation/extrapolation per documentation</x:v>
      </x:c>
      <x:c r="T110" s="57" t="str">
        <x:v>diagonal set to zero + within-sample row normalization</x:v>
      </x:c>
      <x:c r="U110" s="57" t="str">
        <x:v>GCAP Restated Bilateral External Portfolios v1.8</x:v>
      </x:c>
      <x:c r="V110" s="57" t="str">
        <x:v>IMF CPIS</x:v>
      </x:c>
      <x:c r="W110" s="58" t="str">
        <x:v>https://globalcapitalallocation.s3.us-east-2.amazonaws.com/Restated_Bilateral_External_Portfolios_ReadMe.pdf</x:v>
      </x:c>
      <x:c r="X110" s="59" t="n">
        <x:v>0.007763601916808797</x:v>
      </x:c>
      <x:c r="Y110" s="59" t="n">
        <x:v>0.009034232142053877</x:v>
      </x:c>
      <x:c r="Z110" s="59" t="n">
        <x:v>0.009223761483756266</x:v>
      </x:c>
      <x:c r="AA110" s="59" t="n">
        <x:v>0.00676988732042028</x:v>
      </x:c>
    </x:row>
    <x:row r="111">
      <x:c r="A111" s="53" t="str">
        <x:v>JP</x:v>
      </x:c>
      <x:c r="B111" s="53" t="str">
        <x:v>JPN</x:v>
      </x:c>
      <x:c r="C111" s="53" t="str">
        <x:v>Japan</x:v>
      </x:c>
      <x:c r="D111" s="53" t="str">
        <x:v>NO</x:v>
      </x:c>
      <x:c r="E111" s="53" t="str">
        <x:v>NOR</x:v>
      </x:c>
      <x:c r="F111" s="53" t="str">
        <x:v>Norway</x:v>
      </x:c>
      <x:c r="G111" s="53" t="n">
        <x:v>2017</x:v>
      </x:c>
      <x:c r="H111" s="53" t="str">
        <x:v>Issuance</x:v>
      </x:c>
      <x:c r="I111" s="53" t="str">
        <x:v>EF+B</x:v>
      </x:c>
      <x:c r="J111" s="53" t="n">
        <x:v>2</x:v>
      </x:c>
      <x:c r="K111" s="53" t="n">
        <x:v>0</x:v>
      </x:c>
      <x:c r="L111" s="53" t="n">
        <x:v>0</x:v>
      </x:c>
      <x:c r="M111" s="54" t="n">
        <x:v>18880.69436829407</x:v>
      </x:c>
      <x:c r="N111" s="54" t="n">
        <x:v>18481.387864636064</x:v>
      </x:c>
      <x:c r="O111" s="54" t="n">
        <x:v>2145.7428225221047</x:v>
      </x:c>
      <x:c r="P111" s="54" t="n">
        <x:v>16335.64504211396</x:v>
      </x:c>
      <x:c r="Q111" s="55" t="b">
        <x:v>0</x:v>
      </x:c>
      <x:c r="R111" s="56" t="str">
        <x:v>none</x:v>
      </x:c>
      <x:c r="S111" s="57" t="str">
        <x:v>GCAP estimated restatement; Position_Residency may include GCAP interpolation/extrapolation per documentation</x:v>
      </x:c>
      <x:c r="T111" s="57" t="str">
        <x:v>diagonal set to zero + within-sample row normalization</x:v>
      </x:c>
      <x:c r="U111" s="57" t="str">
        <x:v>GCAP Restated Bilateral External Portfolios v1.8</x:v>
      </x:c>
      <x:c r="V111" s="57" t="str">
        <x:v>IMF CPIS</x:v>
      </x:c>
      <x:c r="W111" s="58" t="str">
        <x:v>https://globalcapitalallocation.s3.us-east-2.amazonaws.com/Restated_Bilateral_External_Portfolios_ReadMe.pdf</x:v>
      </x:c>
      <x:c r="X111" s="59" t="n">
        <x:v>0.005076810416922478</x:v>
      </x:c>
      <x:c r="Y111" s="59" t="n">
        <x:v>0.006395996429008604</x:v>
      </x:c>
      <x:c r="Z111" s="59" t="n">
        <x:v>0.0014555416985843012</x:v>
      </x:c>
      <x:c r="AA111" s="59" t="n">
        <x:v>0.007541272291031639</x:v>
      </x:c>
    </x:row>
    <x:row r="112">
      <x:c r="A112" s="53" t="str">
        <x:v>JP</x:v>
      </x:c>
      <x:c r="B112" s="53" t="str">
        <x:v>JPN</x:v>
      </x:c>
      <x:c r="C112" s="53" t="str">
        <x:v>Japan</x:v>
      </x:c>
      <x:c r="D112" s="53" t="str">
        <x:v>SG</x:v>
      </x:c>
      <x:c r="E112" s="53" t="str">
        <x:v>SGP</x:v>
      </x:c>
      <x:c r="F112" s="53" t="str">
        <x:v>Singapore</x:v>
      </x:c>
      <x:c r="G112" s="53" t="n">
        <x:v>2017</x:v>
      </x:c>
      <x:c r="H112" s="53" t="str">
        <x:v>Issuance</x:v>
      </x:c>
      <x:c r="I112" s="53" t="str">
        <x:v>EF+B</x:v>
      </x:c>
      <x:c r="J112" s="53" t="n">
        <x:v>2</x:v>
      </x:c>
      <x:c r="K112" s="53" t="n">
        <x:v>0</x:v>
      </x:c>
      <x:c r="L112" s="53" t="n">
        <x:v>0</x:v>
      </x:c>
      <x:c r="M112" s="54" t="n">
        <x:v>20072.55365876879</x:v>
      </x:c>
      <x:c r="N112" s="54" t="n">
        <x:v>24145.54364212096</x:v>
      </x:c>
      <x:c r="O112" s="54" t="n">
        <x:v>13718.54102409497</x:v>
      </x:c>
      <x:c r="P112" s="54" t="n">
        <x:v>10427.002618025988</x:v>
      </x:c>
      <x:c r="Q112" s="55" t="b">
        <x:v>0</x:v>
      </x:c>
      <x:c r="R112" s="56" t="str">
        <x:v>none</x:v>
      </x:c>
      <x:c r="S112" s="57" t="str">
        <x:v>GCAP estimated restatement; Position_Residency may include GCAP interpolation/extrapolation per documentation</x:v>
      </x:c>
      <x:c r="T112" s="57" t="str">
        <x:v>diagonal set to zero + within-sample row normalization</x:v>
      </x:c>
      <x:c r="U112" s="57" t="str">
        <x:v>GCAP Restated Bilateral External Portfolios v1.8</x:v>
      </x:c>
      <x:c r="V112" s="57" t="str">
        <x:v>IMF CPIS</x:v>
      </x:c>
      <x:c r="W112" s="58" t="str">
        <x:v>https://globalcapitalallocation.s3.us-east-2.amazonaws.com/Restated_Bilateral_External_Portfolios_ReadMe.pdf</x:v>
      </x:c>
      <x:c r="X112" s="59" t="n">
        <x:v>0.006632745786323547</x:v>
      </x:c>
      <x:c r="Y112" s="59" t="n">
        <x:v>0.006799748940280561</x:v>
      </x:c>
      <x:c r="Z112" s="59" t="n">
        <x:v>0.009305825607208298</x:v>
      </x:c>
      <x:c r="AA112" s="59" t="n">
        <x:v>0.004813575816511377</x:v>
      </x:c>
    </x:row>
    <x:row r="113">
      <x:c r="A113" s="53" t="str">
        <x:v>JP</x:v>
      </x:c>
      <x:c r="B113" s="53" t="str">
        <x:v>JPN</x:v>
      </x:c>
      <x:c r="C113" s="53" t="str">
        <x:v>Japan</x:v>
      </x:c>
      <x:c r="D113" s="53" t="str">
        <x:v>TR</x:v>
      </x:c>
      <x:c r="E113" s="53" t="str">
        <x:v>TUR</x:v>
      </x:c>
      <x:c r="F113" s="53" t="str">
        <x:v>Turkey</x:v>
      </x:c>
      <x:c r="G113" s="53" t="n">
        <x:v>2017</x:v>
      </x:c>
      <x:c r="H113" s="53" t="str">
        <x:v>Issuance</x:v>
      </x:c>
      <x:c r="I113" s="53" t="str">
        <x:v>EF+B</x:v>
      </x:c>
      <x:c r="J113" s="53" t="n">
        <x:v>2</x:v>
      </x:c>
      <x:c r="K113" s="53" t="n">
        <x:v>0</x:v>
      </x:c>
      <x:c r="L113" s="53" t="n">
        <x:v>0</x:v>
      </x:c>
      <x:c r="M113" s="54" t="n">
        <x:v>5857.961725907882</x:v>
      </x:c>
      <x:c r="N113" s="54" t="n">
        <x:v>5651.507932867844</x:v>
      </x:c>
      <x:c r="O113" s="54" t="n">
        <x:v>975.1134972534963</x:v>
      </x:c>
      <x:c r="P113" s="54" t="n">
        <x:v>4676.3944356143475</x:v>
      </x:c>
      <x:c r="Q113" s="55" t="b">
        <x:v>0</x:v>
      </x:c>
      <x:c r="R113" s="56" t="str">
        <x:v>none</x:v>
      </x:c>
      <x:c r="S113" s="57" t="str">
        <x:v>GCAP estimated restatement; Position_Residency may include GCAP interpolation/extrapolation per documentation</x:v>
      </x:c>
      <x:c r="T113" s="57" t="str">
        <x:v>diagonal set to zero + within-sample row normalization</x:v>
      </x:c>
      <x:c r="U113" s="57" t="str">
        <x:v>GCAP Restated Bilateral External Portfolios v1.8</x:v>
      </x:c>
      <x:c r="V113" s="57" t="str">
        <x:v>IMF CPIS</x:v>
      </x:c>
      <x:c r="W113" s="58" t="str">
        <x:v>https://globalcapitalallocation.s3.us-east-2.amazonaws.com/Restated_Bilateral_External_Portfolios_ReadMe.pdf</x:v>
      </x:c>
      <x:c r="X113" s="59" t="n">
        <x:v>0.0015524610248456839</x:v>
      </x:c>
      <x:c r="Y113" s="59" t="n">
        <x:v>0.001984434552528653</x:v>
      </x:c>
      <x:c r="Z113" s="59" t="n">
        <x:v>0.0006614578136799108</x:v>
      </x:c>
      <x:c r="AA113" s="59" t="n">
        <x:v>0.0021588350927261167</x:v>
      </x:c>
    </x:row>
    <x:row r="114">
      <x:c r="A114" s="53" t="str">
        <x:v>JP</x:v>
      </x:c>
      <x:c r="B114" s="53" t="str">
        <x:v>JPN</x:v>
      </x:c>
      <x:c r="C114" s="53" t="str">
        <x:v>Japan</x:v>
      </x:c>
      <x:c r="D114" s="53" t="str">
        <x:v>US</x:v>
      </x:c>
      <x:c r="E114" s="53" t="str">
        <x:v>USA</x:v>
      </x:c>
      <x:c r="F114" s="53" t="str">
        <x:v>United States</x:v>
      </x:c>
      <x:c r="G114" s="53" t="n">
        <x:v>2017</x:v>
      </x:c>
      <x:c r="H114" s="53" t="str">
        <x:v>Issuance</x:v>
      </x:c>
      <x:c r="I114" s="53" t="str">
        <x:v>EF+B</x:v>
      </x:c>
      <x:c r="J114" s="53" t="n">
        <x:v>2</x:v>
      </x:c>
      <x:c r="K114" s="53" t="n">
        <x:v>0</x:v>
      </x:c>
      <x:c r="L114" s="53" t="n">
        <x:v>0</x:v>
      </x:c>
      <x:c r="M114" s="54" t="n">
        <x:v>1595103.7506873521</x:v>
      </x:c>
      <x:c r="N114" s="54" t="n">
        <x:v>1676360.388481388</x:v>
      </x:c>
      <x:c r="O114" s="54" t="n">
        <x:v>553622.5738950244</x:v>
      </x:c>
      <x:c r="P114" s="54" t="n">
        <x:v>1122737.8145863637</x:v>
      </x:c>
      <x:c r="Q114" s="55" t="b">
        <x:v>0</x:v>
      </x:c>
      <x:c r="R114" s="56" t="str">
        <x:v>none</x:v>
      </x:c>
      <x:c r="S114" s="57" t="str">
        <x:v>GCAP estimated restatement; Position_Residency may include GCAP interpolation/extrapolation per documentation</x:v>
      </x:c>
      <x:c r="T114" s="57" t="str">
        <x:v>diagonal set to zero + within-sample row normalization</x:v>
      </x:c>
      <x:c r="U114" s="57" t="str">
        <x:v>GCAP Restated Bilateral External Portfolios v1.8</x:v>
      </x:c>
      <x:c r="V114" s="57" t="str">
        <x:v>IMF CPIS</x:v>
      </x:c>
      <x:c r="W114" s="58" t="str">
        <x:v>https://globalcapitalallocation.s3.us-east-2.amazonaws.com/Restated_Bilateral_External_Portfolios_ReadMe.pdf</x:v>
      </x:c>
      <x:c r="X114" s="59" t="n">
        <x:v>0.46049376513781165</x:v>
      </x:c>
      <x:c r="Y114" s="59" t="n">
        <x:v>0.540355015249174</x:v>
      </x:c>
      <x:c r="Z114" s="59" t="n">
        <x:v>0.37554395294894444</x:v>
      </x:c>
      <x:c r="AA114" s="59" t="n">
        <x:v>0.5183065345387722</x:v>
      </x:c>
    </x:row>
    <x:row r="115">
      <x:c r="A115" s="53" t="str">
        <x:v>JP</x:v>
      </x:c>
      <x:c r="B115" s="53" t="str">
        <x:v>JPN</x:v>
      </x:c>
      <x:c r="C115" s="53" t="str">
        <x:v>Japan</x:v>
      </x:c>
      <x:c r="D115" s="53" t="str">
        <x:v>ZA</x:v>
      </x:c>
      <x:c r="E115" s="53" t="str">
        <x:v>ZAF</x:v>
      </x:c>
      <x:c r="F115" s="53" t="str">
        <x:v>South Africa</x:v>
      </x:c>
      <x:c r="G115" s="53" t="n">
        <x:v>2017</x:v>
      </x:c>
      <x:c r="H115" s="53" t="str">
        <x:v>Issuance</x:v>
      </x:c>
      <x:c r="I115" s="53" t="str">
        <x:v>EF+B</x:v>
      </x:c>
      <x:c r="J115" s="53" t="n">
        <x:v>2</x:v>
      </x:c>
      <x:c r="K115" s="53" t="n">
        <x:v>0</x:v>
      </x:c>
      <x:c r="L115" s="53" t="n">
        <x:v>0</x:v>
      </x:c>
      <x:c r="M115" s="54" t="n">
        <x:v>8495.36160764393</x:v>
      </x:c>
      <x:c r="N115" s="54" t="n">
        <x:v>9054.148733528771</x:v>
      </x:c>
      <x:c r="O115" s="54" t="n">
        <x:v>4971.674261125244</x:v>
      </x:c>
      <x:c r="P115" s="54" t="n">
        <x:v>4082.4744724035263</x:v>
      </x:c>
      <x:c r="Q115" s="55" t="b">
        <x:v>0</x:v>
      </x:c>
      <x:c r="R115" s="56" t="str">
        <x:v>none</x:v>
      </x:c>
      <x:c r="S115" s="57" t="str">
        <x:v>GCAP estimated restatement; Position_Residency may include GCAP interpolation/extrapolation per documentation</x:v>
      </x:c>
      <x:c r="T115" s="57" t="str">
        <x:v>diagonal set to zero + within-sample row normalization</x:v>
      </x:c>
      <x:c r="U115" s="57" t="str">
        <x:v>GCAP Restated Bilateral External Portfolios v1.8</x:v>
      </x:c>
      <x:c r="V115" s="57" t="str">
        <x:v>IMF CPIS</x:v>
      </x:c>
      <x:c r="W115" s="58" t="str">
        <x:v>https://globalcapitalallocation.s3.us-east-2.amazonaws.com/Restated_Bilateral_External_Portfolios_ReadMe.pdf</x:v>
      </x:c>
      <x:c r="X115" s="59" t="n">
        <x:v>0.0024871615131621225</x:v>
      </x:c>
      <x:c r="Y115" s="59" t="n">
        <x:v>0.0028778762817575775</x:v>
      </x:c>
      <x:c r="Z115" s="59" t="n">
        <x:v>0.003372482071425659</x:v>
      </x:c>
      <x:c r="AA115" s="59" t="n">
        <x:v>0.0018846547864017885</x:v>
      </x:c>
    </x:row>
    <x:row r="116">
      <x:c r="A116" s="53" t="str">
        <x:v>KR</x:v>
      </x:c>
      <x:c r="B116" s="53" t="str">
        <x:v>KOR</x:v>
      </x:c>
      <x:c r="C116" s="53" t="str">
        <x:v>Korea, Republic of</x:v>
      </x:c>
      <x:c r="D116" s="53" t="str">
        <x:v>AU</x:v>
      </x:c>
      <x:c r="E116" s="53" t="str">
        <x:v>AUS</x:v>
      </x:c>
      <x:c r="F116" s="53" t="str">
        <x:v>Australia</x:v>
      </x:c>
      <x:c r="G116" s="53" t="n">
        <x:v>2017</x:v>
      </x:c>
      <x:c r="H116" s="53" t="str">
        <x:v>Issuance</x:v>
      </x:c>
      <x:c r="I116" s="53" t="str">
        <x:v>EF+B</x:v>
      </x:c>
      <x:c r="J116" s="53" t="n">
        <x:v>2</x:v>
      </x:c>
      <x:c r="K116" s="53" t="n">
        <x:v>0</x:v>
      </x:c>
      <x:c r="L116" s="53" t="n">
        <x:v>0</x:v>
      </x:c>
      <x:c r="M116" s="54" t="n">
        <x:v>11777.6</x:v>
      </x:c>
      <x:c r="N116" s="54" t="n">
        <x:v>11282.31151809293</x:v>
      </x:c>
      <x:c r="O116" s="54" t="n">
        <x:v>4853.738613569469</x:v>
      </x:c>
      <x:c r="P116" s="54" t="n">
        <x:v>6428.572904523462</x:v>
      </x:c>
      <x:c r="Q116" s="55" t="b">
        <x:v>0</x:v>
      </x:c>
      <x:c r="R116" s="56" t="str">
        <x:v>none</x:v>
      </x:c>
      <x:c r="S116" s="57" t="str">
        <x:v>GCAP estimated restatement; Position_Residency may include GCAP interpolation/extrapolation per documentation</x:v>
      </x:c>
      <x:c r="T116" s="57" t="str">
        <x:v>diagonal set to zero + within-sample row normalization</x:v>
      </x:c>
      <x:c r="U116" s="57" t="str">
        <x:v>GCAP Restated Bilateral External Portfolios v1.8</x:v>
      </x:c>
      <x:c r="V116" s="57" t="str">
        <x:v>IMF CPIS</x:v>
      </x:c>
      <x:c r="W116" s="58" t="str">
        <x:v>https://globalcapitalallocation.s3.us-east-2.amazonaws.com/Restated_Bilateral_External_Portfolios_ReadMe.pdf</x:v>
      </x:c>
      <x:c r="X116" s="59" t="n">
        <x:v>0.029525685571576196</x:v>
      </x:c>
      <x:c r="Y116" s="59" t="n">
        <x:v>0.03241131236771674</x:v>
      </x:c>
      <x:c r="Z116" s="59" t="n">
        <x:v>0.02116660869928444</x:v>
      </x:c>
      <x:c r="AA116" s="59" t="n">
        <x:v>0.04206977076150873</x:v>
      </x:c>
    </x:row>
    <x:row r="117">
      <x:c r="A117" s="53" t="str">
        <x:v>KR</x:v>
      </x:c>
      <x:c r="B117" s="53" t="str">
        <x:v>KOR</x:v>
      </x:c>
      <x:c r="C117" s="53" t="str">
        <x:v>Korea, Republic of</x:v>
      </x:c>
      <x:c r="D117" s="53" t="str">
        <x:v>BR</x:v>
      </x:c>
      <x:c r="E117" s="53" t="str">
        <x:v>BRA</x:v>
      </x:c>
      <x:c r="F117" s="53" t="str">
        <x:v>Brazil</x:v>
      </x:c>
      <x:c r="G117" s="53" t="n">
        <x:v>2017</x:v>
      </x:c>
      <x:c r="H117" s="53" t="str">
        <x:v>Issuance</x:v>
      </x:c>
      <x:c r="I117" s="53" t="str">
        <x:v>EF+B</x:v>
      </x:c>
      <x:c r="J117" s="53" t="n">
        <x:v>2</x:v>
      </x:c>
      <x:c r="K117" s="53" t="n">
        <x:v>0</x:v>
      </x:c>
      <x:c r="L117" s="53" t="n">
        <x:v>0</x:v>
      </x:c>
      <x:c r="M117" s="54" t="n">
        <x:v>11633.199999999999</x:v>
      </x:c>
      <x:c r="N117" s="54" t="n">
        <x:v>10587.715269963257</x:v>
      </x:c>
      <x:c r="O117" s="54" t="n">
        <x:v>1296.1954632578418</x:v>
      </x:c>
      <x:c r="P117" s="54" t="n">
        <x:v>9291.519806705415</x:v>
      </x:c>
      <x:c r="Q117" s="55" t="b">
        <x:v>0</x:v>
      </x:c>
      <x:c r="R117" s="56" t="str">
        <x:v>none</x:v>
      </x:c>
      <x:c r="S117" s="57" t="str">
        <x:v>GCAP estimated restatement; Position_Residency may include GCAP interpolation/extrapolation per documentation</x:v>
      </x:c>
      <x:c r="T117" s="57" t="str">
        <x:v>diagonal set to zero + within-sample row normalization</x:v>
      </x:c>
      <x:c r="U117" s="57" t="str">
        <x:v>GCAP Restated Bilateral External Portfolios v1.8</x:v>
      </x:c>
      <x:c r="V117" s="57" t="str">
        <x:v>IMF CPIS</x:v>
      </x:c>
      <x:c r="W117" s="58" t="str">
        <x:v>https://globalcapitalallocation.s3.us-east-2.amazonaws.com/Restated_Bilateral_External_Portfolios_ReadMe.pdf</x:v>
      </x:c>
      <x:c r="X117" s="59" t="n">
        <x:v>0.027707934804050868</x:v>
      </x:c>
      <x:c r="Y117" s="59" t="n">
        <x:v>0.032013931449202074</x:v>
      </x:c>
      <x:c r="Z117" s="59" t="n">
        <x:v>0.005652562767155237</x:v>
      </x:c>
      <x:c r="AA117" s="59" t="n">
        <x:v>0.0608054251075015</x:v>
      </x:c>
    </x:row>
    <x:row r="118">
      <x:c r="A118" s="53" t="str">
        <x:v>KR</x:v>
      </x:c>
      <x:c r="B118" s="53" t="str">
        <x:v>KOR</x:v>
      </x:c>
      <x:c r="C118" s="53" t="str">
        <x:v>Korea, Republic of</x:v>
      </x:c>
      <x:c r="D118" s="53" t="str">
        <x:v>CA</x:v>
      </x:c>
      <x:c r="E118" s="53" t="str">
        <x:v>CAN</x:v>
      </x:c>
      <x:c r="F118" s="53" t="str">
        <x:v>Canada</x:v>
      </x:c>
      <x:c r="G118" s="53" t="n">
        <x:v>2017</x:v>
      </x:c>
      <x:c r="H118" s="53" t="str">
        <x:v>Issuance</x:v>
      </x:c>
      <x:c r="I118" s="53" t="str">
        <x:v>EF+B</x:v>
      </x:c>
      <x:c r="J118" s="53" t="n">
        <x:v>2</x:v>
      </x:c>
      <x:c r="K118" s="53" t="n">
        <x:v>0</x:v>
      </x:c>
      <x:c r="L118" s="53" t="n">
        <x:v>0</x:v>
      </x:c>
      <x:c r="M118" s="54" t="n">
        <x:v>8104.1</x:v>
      </x:c>
      <x:c r="N118" s="54" t="n">
        <x:v>8602.116848942416</x:v>
      </x:c>
      <x:c r="O118" s="54" t="n">
        <x:v>4283.040242398682</x:v>
      </x:c>
      <x:c r="P118" s="54" t="n">
        <x:v>4319.076606543735</x:v>
      </x:c>
      <x:c r="Q118" s="55" t="b">
        <x:v>0</x:v>
      </x:c>
      <x:c r="R118" s="56" t="str">
        <x:v>none</x:v>
      </x:c>
      <x:c r="S118" s="57" t="str">
        <x:v>GCAP estimated restatement; Position_Residency may include GCAP interpolation/extrapolation per documentation</x:v>
      </x:c>
      <x:c r="T118" s="57" t="str">
        <x:v>diagonal set to zero + within-sample row normalization</x:v>
      </x:c>
      <x:c r="U118" s="57" t="str">
        <x:v>GCAP Restated Bilateral External Portfolios v1.8</x:v>
      </x:c>
      <x:c r="V118" s="57" t="str">
        <x:v>IMF CPIS</x:v>
      </x:c>
      <x:c r="W118" s="58" t="str">
        <x:v>https://globalcapitalallocation.s3.us-east-2.amazonaws.com/Restated_Bilateral_External_Portfolios_ReadMe.pdf</x:v>
      </x:c>
      <x:c r="X118" s="59" t="n">
        <x:v>0.02251164550141431</x:v>
      </x:c>
      <x:c r="Y118" s="59" t="n">
        <x:v>0.022302040870738796</x:v>
      </x:c>
      <x:c r="Z118" s="59" t="n">
        <x:v>0.018677857229619385</x:v>
      </x:c>
      <x:c r="AA118" s="59" t="n">
        <x:v>0.028264836603289517</x:v>
      </x:c>
    </x:row>
    <x:row r="119">
      <x:c r="A119" s="53" t="str">
        <x:v>KR</x:v>
      </x:c>
      <x:c r="B119" s="53" t="str">
        <x:v>KOR</x:v>
      </x:c>
      <x:c r="C119" s="53" t="str">
        <x:v>Korea, Republic of</x:v>
      </x:c>
      <x:c r="D119" s="53" t="str">
        <x:v>CH</x:v>
      </x:c>
      <x:c r="E119" s="53" t="str">
        <x:v>CHE</x:v>
      </x:c>
      <x:c r="F119" s="53" t="str">
        <x:v>Switzerland</x:v>
      </x:c>
      <x:c r="G119" s="53" t="n">
        <x:v>2017</x:v>
      </x:c>
      <x:c r="H119" s="53" t="str">
        <x:v>Issuance</x:v>
      </x:c>
      <x:c r="I119" s="53" t="str">
        <x:v>EF+B</x:v>
      </x:c>
      <x:c r="J119" s="53" t="n">
        <x:v>2</x:v>
      </x:c>
      <x:c r="K119" s="53" t="n">
        <x:v>0</x:v>
      </x:c>
      <x:c r="L119" s="53" t="n">
        <x:v>0</x:v>
      </x:c>
      <x:c r="M119" s="54" t="n">
        <x:v>5661.9</x:v>
      </x:c>
      <x:c r="N119" s="54" t="n">
        <x:v>7493.713613472064</x:v>
      </x:c>
      <x:c r="O119" s="54" t="n">
        <x:v>4680.0335651153</x:v>
      </x:c>
      <x:c r="P119" s="54" t="n">
        <x:v>2813.680048356764</x:v>
      </x:c>
      <x:c r="Q119" s="55" t="b">
        <x:v>0</x:v>
      </x:c>
      <x:c r="R119" s="56" t="str">
        <x:v>none</x:v>
      </x:c>
      <x:c r="S119" s="57" t="str">
        <x:v>GCAP estimated restatement; Position_Residency may include GCAP interpolation/extrapolation per documentation</x:v>
      </x:c>
      <x:c r="T119" s="57" t="str">
        <x:v>diagonal set to zero + within-sample row normalization</x:v>
      </x:c>
      <x:c r="U119" s="57" t="str">
        <x:v>GCAP Restated Bilateral External Portfolios v1.8</x:v>
      </x:c>
      <x:c r="V119" s="57" t="str">
        <x:v>IMF CPIS</x:v>
      </x:c>
      <x:c r="W119" s="58" t="str">
        <x:v>https://globalcapitalallocation.s3.us-east-2.amazonaws.com/Restated_Bilateral_External_Portfolios_ReadMe.pdf</x:v>
      </x:c>
      <x:c r="X119" s="59" t="n">
        <x:v>0.019610966383971615</x:v>
      </x:c>
      <x:c r="Y119" s="59" t="n">
        <x:v>0.015581239768269884</x:v>
      </x:c>
      <x:c r="Z119" s="59" t="n">
        <x:v>0.020409100501492198</x:v>
      </x:c>
      <x:c r="AA119" s="59" t="n">
        <x:v>0.01841324293721679</x:v>
      </x:c>
    </x:row>
    <x:row r="120">
      <x:c r="A120" s="53" t="str">
        <x:v>KR</x:v>
      </x:c>
      <x:c r="B120" s="53" t="str">
        <x:v>KOR</x:v>
      </x:c>
      <x:c r="C120" s="53" t="str">
        <x:v>Korea, Republic of</x:v>
      </x:c>
      <x:c r="D120" s="53" t="str">
        <x:v>CN</x:v>
      </x:c>
      <x:c r="E120" s="53" t="str">
        <x:v>CHN</x:v>
      </x:c>
      <x:c r="F120" s="53" t="str">
        <x:v>China</x:v>
      </x:c>
      <x:c r="G120" s="53" t="n">
        <x:v>2017</x:v>
      </x:c>
      <x:c r="H120" s="53" t="str">
        <x:v>Issuance</x:v>
      </x:c>
      <x:c r="I120" s="53" t="str">
        <x:v>EF+B</x:v>
      </x:c>
      <x:c r="J120" s="53" t="n">
        <x:v>2</x:v>
      </x:c>
      <x:c r="K120" s="53" t="n">
        <x:v>0</x:v>
      </x:c>
      <x:c r="L120" s="53" t="n">
        <x:v>0</x:v>
      </x:c>
      <x:c r="M120" s="54" t="n">
        <x:v>17861.8</x:v>
      </x:c>
      <x:c r="N120" s="54" t="n">
        <x:v>32145.73414405639</x:v>
      </x:c>
      <x:c r="O120" s="54" t="n">
        <x:v>21569.89453154488</x:v>
      </x:c>
      <x:c r="P120" s="54" t="n">
        <x:v>10575.83961251151</x:v>
      </x:c>
      <x:c r="Q120" s="55" t="b">
        <x:v>0</x:v>
      </x:c>
      <x:c r="R120" s="56" t="str">
        <x:v>none</x:v>
      </x:c>
      <x:c r="S120" s="57" t="str">
        <x:v>GCAP estimated restatement; Position_Residency may include GCAP interpolation/extrapolation per documentation</x:v>
      </x:c>
      <x:c r="T120" s="57" t="str">
        <x:v>diagonal set to zero + within-sample row normalization</x:v>
      </x:c>
      <x:c r="U120" s="57" t="str">
        <x:v>GCAP Restated Bilateral External Portfolios v1.8</x:v>
      </x:c>
      <x:c r="V120" s="57" t="str">
        <x:v>IMF CPIS</x:v>
      </x:c>
      <x:c r="W120" s="58" t="str">
        <x:v>https://globalcapitalallocation.s3.us-east-2.amazonaws.com/Restated_Bilateral_External_Portfolios_ReadMe.pdf</x:v>
      </x:c>
      <x:c r="X120" s="59" t="n">
        <x:v>0.08412503388891732</x:v>
      </x:c>
      <x:c r="Y120" s="59" t="n">
        <x:v>0.049154698686462675</x:v>
      </x:c>
      <x:c r="Z120" s="59" t="n">
        <x:v>0.0940638863324137</x:v>
      </x:c>
      <x:c r="AA120" s="59" t="n">
        <x:v>0.06921025159344038</x:v>
      </x:c>
    </x:row>
    <x:row r="121">
      <x:c r="A121" s="53" t="str">
        <x:v>KR</x:v>
      </x:c>
      <x:c r="B121" s="53" t="str">
        <x:v>KOR</x:v>
      </x:c>
      <x:c r="C121" s="53" t="str">
        <x:v>Korea, Republic of</x:v>
      </x:c>
      <x:c r="D121" s="53" t="str">
        <x:v>EA</x:v>
      </x:c>
      <x:c r="E121" s="53" t="str">
        <x:v>EMU</x:v>
      </x:c>
      <x:c r="F121" s="53" t="str">
        <x:v>European Monetary Union</x:v>
      </x:c>
      <x:c r="G121" s="53" t="n">
        <x:v>2017</x:v>
      </x:c>
      <x:c r="H121" s="53" t="str">
        <x:v>Issuance</x:v>
      </x:c>
      <x:c r="I121" s="53" t="str">
        <x:v>EF+B</x:v>
      </x:c>
      <x:c r="J121" s="53" t="n">
        <x:v>38</x:v>
      </x:c>
      <x:c r="K121" s="53" t="n">
        <x:v>0</x:v>
      </x:c>
      <x:c r="L121" s="53" t="n">
        <x:v>0</x:v>
      </x:c>
      <x:c r="M121" s="54" t="n">
        <x:v>67813.29999190866</x:v>
      </x:c>
      <x:c r="N121" s="54" t="n">
        <x:v>68346.64821123754</x:v>
      </x:c>
      <x:c r="O121" s="54" t="n">
        <x:v>44776.91562289801</x:v>
      </x:c>
      <x:c r="P121" s="54" t="n">
        <x:v>23569.73258833954</x:v>
      </x:c>
      <x:c r="Q121" s="55" t="b">
        <x:v>0</x:v>
      </x:c>
      <x:c r="R121" s="56" t="str">
        <x:v>none</x:v>
      </x:c>
      <x:c r="S121" s="57" t="str">
        <x:v>GCAP estimated restatement; Position_Residency may include GCAP interpolation/extrapolation per documentation</x:v>
      </x:c>
      <x:c r="T121" s="57" t="str">
        <x:v>EA issuer aggregation + diagonal set to zero + within-sample row normalization</x:v>
      </x:c>
      <x:c r="U121" s="57" t="str">
        <x:v>GCAP Restated Bilateral External Portfolios v1.8</x:v>
      </x:c>
      <x:c r="V121" s="57" t="str">
        <x:v>IMF CPIS</x:v>
      </x:c>
      <x:c r="W121" s="58" t="str">
        <x:v>https://globalcapitalallocation.s3.us-east-2.amazonaws.com/Restated_Bilateral_External_Portfolios_ReadMe.pdf</x:v>
      </x:c>
      <x:c r="X121" s="59" t="n">
        <x:v>0.17886242918572</x:v>
      </x:c>
      <x:c r="Y121" s="59" t="n">
        <x:v>0.18661850026520127</x:v>
      </x:c>
      <x:c r="Z121" s="59" t="n">
        <x:v>0.1952670976350246</x:v>
      </x:c>
      <x:c r="AA121" s="59" t="n">
        <x:v>0.1542446918823595</x:v>
      </x:c>
    </x:row>
    <x:row r="122">
      <x:c r="A122" s="53" t="str">
        <x:v>KR</x:v>
      </x:c>
      <x:c r="B122" s="53" t="str">
        <x:v>KOR</x:v>
      </x:c>
      <x:c r="C122" s="53" t="str">
        <x:v>Korea, Republic of</x:v>
      </x:c>
      <x:c r="D122" s="53" t="str">
        <x:v>UK</x:v>
      </x:c>
      <x:c r="E122" s="53" t="str">
        <x:v>GBR</x:v>
      </x:c>
      <x:c r="F122" s="53" t="str">
        <x:v>United Kingdom</x:v>
      </x:c>
      <x:c r="G122" s="53" t="n">
        <x:v>2017</x:v>
      </x:c>
      <x:c r="H122" s="53" t="str">
        <x:v>Issuance</x:v>
      </x:c>
      <x:c r="I122" s="53" t="str">
        <x:v>EF+B</x:v>
      </x:c>
      <x:c r="J122" s="53" t="n">
        <x:v>2</x:v>
      </x:c>
      <x:c r="K122" s="53" t="n">
        <x:v>0</x:v>
      </x:c>
      <x:c r="L122" s="53" t="n">
        <x:v>0</x:v>
      </x:c>
      <x:c r="M122" s="54" t="n">
        <x:v>26814.5</x:v>
      </x:c>
      <x:c r="N122" s="54" t="n">
        <x:v>26179.4487673915</x:v>
      </x:c>
      <x:c r="O122" s="54" t="n">
        <x:v>13141.808693989879</x:v>
      </x:c>
      <x:c r="P122" s="54" t="n">
        <x:v>13037.64007340162</x:v>
      </x:c>
      <x:c r="Q122" s="55" t="b">
        <x:v>0</x:v>
      </x:c>
      <x:c r="R122" s="56" t="str">
        <x:v>none</x:v>
      </x:c>
      <x:c r="S122" s="57" t="str">
        <x:v>GCAP estimated restatement; Position_Residency may include GCAP interpolation/extrapolation per documentation</x:v>
      </x:c>
      <x:c r="T122" s="57" t="str">
        <x:v>diagonal set to zero + within-sample row normalization</x:v>
      </x:c>
      <x:c r="U122" s="57" t="str">
        <x:v>GCAP Restated Bilateral External Portfolios v1.8</x:v>
      </x:c>
      <x:c r="V122" s="57" t="str">
        <x:v>IMF CPIS</x:v>
      </x:c>
      <x:c r="W122" s="58" t="str">
        <x:v>https://globalcapitalallocation.s3.us-east-2.amazonaws.com/Restated_Bilateral_External_Portfolios_ReadMe.pdf</x:v>
      </x:c>
      <x:c r="X122" s="59" t="n">
        <x:v>0.06851133045773632</x:v>
      </x:c>
      <x:c r="Y122" s="59" t="n">
        <x:v>0.07379204043982988</x:v>
      </x:c>
      <x:c r="Z122" s="59" t="n">
        <x:v>0.05730995102391226</x:v>
      </x:c>
      <x:c r="AA122" s="59" t="n">
        <x:v>0.08532072939129631</x:v>
      </x:c>
    </x:row>
    <x:row r="123">
      <x:c r="A123" s="53" t="str">
        <x:v>KR</x:v>
      </x:c>
      <x:c r="B123" s="53" t="str">
        <x:v>KOR</x:v>
      </x:c>
      <x:c r="C123" s="53" t="str">
        <x:v>Korea, Republic of</x:v>
      </x:c>
      <x:c r="D123" s="53" t="str">
        <x:v>JP</x:v>
      </x:c>
      <x:c r="E123" s="53" t="str">
        <x:v>JPN</x:v>
      </x:c>
      <x:c r="F123" s="53" t="str">
        <x:v>Japan</x:v>
      </x:c>
      <x:c r="G123" s="53" t="n">
        <x:v>2017</x:v>
      </x:c>
      <x:c r="H123" s="53" t="str">
        <x:v>Issuance</x:v>
      </x:c>
      <x:c r="I123" s="53" t="str">
        <x:v>EF+B</x:v>
      </x:c>
      <x:c r="J123" s="53" t="n">
        <x:v>2</x:v>
      </x:c>
      <x:c r="K123" s="53" t="n">
        <x:v>0</x:v>
      </x:c>
      <x:c r="L123" s="53" t="n">
        <x:v>0</x:v>
      </x:c>
      <x:c r="M123" s="54" t="n">
        <x:v>19787.1</x:v>
      </x:c>
      <x:c r="N123" s="54" t="n">
        <x:v>20797.470278498367</x:v>
      </x:c>
      <x:c r="O123" s="54" t="n">
        <x:v>14860.133577694301</x:v>
      </x:c>
      <x:c r="P123" s="54" t="n">
        <x:v>5937.336700804066</x:v>
      </x:c>
      <x:c r="Q123" s="55" t="b">
        <x:v>0</x:v>
      </x:c>
      <x:c r="R123" s="56" t="str">
        <x:v>none</x:v>
      </x:c>
      <x:c r="S123" s="57" t="str">
        <x:v>GCAP estimated restatement; Position_Residency may include GCAP interpolation/extrapolation per documentation</x:v>
      </x:c>
      <x:c r="T123" s="57" t="str">
        <x:v>diagonal set to zero + within-sample row normalization</x:v>
      </x:c>
      <x:c r="U123" s="57" t="str">
        <x:v>GCAP Restated Bilateral External Portfolios v1.8</x:v>
      </x:c>
      <x:c r="V123" s="57" t="str">
        <x:v>IMF CPIS</x:v>
      </x:c>
      <x:c r="W123" s="58" t="str">
        <x:v>https://globalcapitalallocation.s3.us-east-2.amazonaws.com/Restated_Bilateral_External_Portfolios_ReadMe.pdf</x:v>
      </x:c>
      <x:c r="X123" s="59" t="n">
        <x:v>0.0544267517469629</x:v>
      </x:c>
      <x:c r="Y123" s="59" t="n">
        <x:v>0.05445301920181088</x:v>
      </x:c>
      <x:c r="Z123" s="59" t="n">
        <x:v>0.06480337276070156</x:v>
      </x:c>
      <x:c r="AA123" s="59" t="n">
        <x:v>0.038855030135998045</x:v>
      </x:c>
    </x:row>
    <x:row r="124">
      <x:c r="A124" s="53" t="str">
        <x:v>KR</x:v>
      </x:c>
      <x:c r="B124" s="53" t="str">
        <x:v>KOR</x:v>
      </x:c>
      <x:c r="C124" s="53" t="str">
        <x:v>Korea, Republic of</x:v>
      </x:c>
      <x:c r="D124" s="53" t="str">
        <x:v>KR</x:v>
      </x:c>
      <x:c r="E124" s="53" t="str">
        <x:v>KOR</x:v>
      </x:c>
      <x:c r="F124" s="53" t="str">
        <x:v>Korea, Republic of</x:v>
      </x:c>
      <x:c r="G124" s="53" t="n">
        <x:v>2017</x:v>
      </x:c>
      <x:c r="H124" s="53" t="str">
        <x:v>Issuance</x:v>
      </x:c>
      <x:c r="I124" s="53" t="str">
        <x:v>EF+B</x:v>
      </x:c>
      <x:c r="J124" s="53" t="n">
        <x:v>2</x:v>
      </x:c>
      <x:c r="K124" s="53" t="n">
        <x:v>0</x:v>
      </x:c>
      <x:c r="L124" s="53" t="n">
        <x:v>0</x:v>
      </x:c>
      <x:c r="M124" s="54" t="n">
        <x:v>0</x:v>
      </x:c>
      <x:c r="N124" s="54" t="n">
        <x:v>152.59957933146507</x:v>
      </x:c>
      <x:c r="O124" s="54" t="n">
        <x:v>47.263789487071335</x:v>
      </x:c>
      <x:c r="P124" s="54" t="n">
        <x:v>105.33578984439373</x:v>
      </x:c>
      <x:c r="Q124" s="55" t="b">
        <x:v>1</x:v>
      </x:c>
      <x:c r="R124" s="56" t="str">
        <x:v>none</x:v>
      </x:c>
      <x:c r="S124" s="57" t="str">
        <x:v>GCAP estimated restatement; Position_Residency may include GCAP interpolation/extrapolation per documentation</x:v>
      </x:c>
      <x:c r="T124" s="57" t="str">
        <x:v>EA issuer aggregation + diagonal set to zero + within-sample row normalization</x:v>
      </x:c>
      <x:c r="U124" s="57" t="str">
        <x:v>GCAP Restated Bilateral External Portfolios v1.8</x:v>
      </x:c>
      <x:c r="V124" s="57" t="str">
        <x:v>IMF CPIS</x:v>
      </x:c>
      <x:c r="W124" s="58" t="str">
        <x:v>https://globalcapitalallocation.s3.us-east-2.amazonaws.com/Restated_Bilateral_External_Portfolios_ReadMe.pdf</x:v>
      </x:c>
      <x:c r="X124" s="59" t="n">
        <x:v>0</x:v>
      </x:c>
      <x:c r="Y124" s="59" t="n">
        <x:v>0</x:v>
      </x:c>
      <x:c r="Z124" s="59" t="n">
        <x:v>0</x:v>
      </x:c>
      <x:c r="AA124" s="59" t="n">
        <x:v>0</x:v>
      </x:c>
    </x:row>
    <x:row r="125">
      <x:c r="A125" s="53" t="str">
        <x:v>KR</x:v>
      </x:c>
      <x:c r="B125" s="53" t="str">
        <x:v>KOR</x:v>
      </x:c>
      <x:c r="C125" s="53" t="str">
        <x:v>Korea, Republic of</x:v>
      </x:c>
      <x:c r="D125" s="53" t="str">
        <x:v>NO</x:v>
      </x:c>
      <x:c r="E125" s="53" t="str">
        <x:v>NOR</x:v>
      </x:c>
      <x:c r="F125" s="53" t="str">
        <x:v>Norway</x:v>
      </x:c>
      <x:c r="G125" s="53" t="n">
        <x:v>2017</x:v>
      </x:c>
      <x:c r="H125" s="53" t="str">
        <x:v>Issuance</x:v>
      </x:c>
      <x:c r="I125" s="53" t="str">
        <x:v>EF+B</x:v>
      </x:c>
      <x:c r="J125" s="53" t="n">
        <x:v>2</x:v>
      </x:c>
      <x:c r="K125" s="53" t="n">
        <x:v>0</x:v>
      </x:c>
      <x:c r="L125" s="53" t="n">
        <x:v>0</x:v>
      </x:c>
      <x:c r="M125" s="54" t="n">
        <x:v>791.4000000000001</x:v>
      </x:c>
      <x:c r="N125" s="54" t="n">
        <x:v>813.3426339016878</x:v>
      </x:c>
      <x:c r="O125" s="54" t="n">
        <x:v>428.95593945198925</x:v>
      </x:c>
      <x:c r="P125" s="54" t="n">
        <x:v>384.38669444969855</x:v>
      </x:c>
      <x:c r="Q125" s="55" t="b">
        <x:v>0</x:v>
      </x:c>
      <x:c r="R125" s="56" t="str">
        <x:v>none</x:v>
      </x:c>
      <x:c r="S125" s="57" t="str">
        <x:v>GCAP estimated restatement; Position_Residency may include GCAP interpolation/extrapolation per documentation</x:v>
      </x:c>
      <x:c r="T125" s="57" t="str">
        <x:v>diagonal set to zero + within-sample row normalization</x:v>
      </x:c>
      <x:c r="U125" s="57" t="str">
        <x:v>GCAP Restated Bilateral External Portfolios v1.8</x:v>
      </x:c>
      <x:c r="V125" s="57" t="str">
        <x:v>IMF CPIS</x:v>
      </x:c>
      <x:c r="W125" s="58" t="str">
        <x:v>https://globalcapitalallocation.s3.us-east-2.amazonaws.com/Restated_Bilateral_External_Portfolios_ReadMe.pdf</x:v>
      </x:c>
      <x:c r="X125" s="59" t="n">
        <x:v>0.0021285087574499147</x:v>
      </x:c>
      <x:c r="Y125" s="59" t="n">
        <x:v>0.0021778896046572333</x:v>
      </x:c>
      <x:c r="Z125" s="59" t="n">
        <x:v>0.0018706286519489881</x:v>
      </x:c>
      <x:c r="AA125" s="59" t="n">
        <x:v>0.0025154976632362934</x:v>
      </x:c>
    </x:row>
    <x:row r="126">
      <x:c r="A126" s="53" t="str">
        <x:v>KR</x:v>
      </x:c>
      <x:c r="B126" s="53" t="str">
        <x:v>KOR</x:v>
      </x:c>
      <x:c r="C126" s="53" t="str">
        <x:v>Korea, Republic of</x:v>
      </x:c>
      <x:c r="D126" s="53" t="str">
        <x:v>SG</x:v>
      </x:c>
      <x:c r="E126" s="53" t="str">
        <x:v>SGP</x:v>
      </x:c>
      <x:c r="F126" s="53" t="str">
        <x:v>Singapore</x:v>
      </x:c>
      <x:c r="G126" s="53" t="n">
        <x:v>2017</x:v>
      </x:c>
      <x:c r="H126" s="53" t="str">
        <x:v>Issuance</x:v>
      </x:c>
      <x:c r="I126" s="53" t="str">
        <x:v>EF+B</x:v>
      </x:c>
      <x:c r="J126" s="53" t="n">
        <x:v>2</x:v>
      </x:c>
      <x:c r="K126" s="53" t="n">
        <x:v>0</x:v>
      </x:c>
      <x:c r="L126" s="53" t="n">
        <x:v>0</x:v>
      </x:c>
      <x:c r="M126" s="54" t="n">
        <x:v>4550.2</x:v>
      </x:c>
      <x:c r="N126" s="54" t="n">
        <x:v>4487.764073370607</x:v>
      </x:c>
      <x:c r="O126" s="54" t="n">
        <x:v>1859.4789001327008</x:v>
      </x:c>
      <x:c r="P126" s="54" t="n">
        <x:v>2628.285173237906</x:v>
      </x:c>
      <x:c r="Q126" s="55" t="b">
        <x:v>0</x:v>
      </x:c>
      <x:c r="R126" s="56" t="str">
        <x:v>none</x:v>
      </x:c>
      <x:c r="S126" s="57" t="str">
        <x:v>GCAP estimated restatement; Position_Residency may include GCAP interpolation/extrapolation per documentation</x:v>
      </x:c>
      <x:c r="T126" s="57" t="str">
        <x:v>diagonal set to zero + within-sample row normalization</x:v>
      </x:c>
      <x:c r="U126" s="57" t="str">
        <x:v>GCAP Restated Bilateral External Portfolios v1.8</x:v>
      </x:c>
      <x:c r="V126" s="57" t="str">
        <x:v>IMF CPIS</x:v>
      </x:c>
      <x:c r="W126" s="58" t="str">
        <x:v>https://globalcapitalallocation.s3.us-east-2.amazonaws.com/Restated_Bilateral_External_Portfolios_ReadMe.pdf</x:v>
      </x:c>
      <x:c r="X126" s="59" t="n">
        <x:v>0.011744429387299348</x:v>
      </x:c>
      <x:c r="Y126" s="59" t="n">
        <x:v>0.012521902045882412</x:v>
      </x:c>
      <x:c r="Z126" s="59" t="n">
        <x:v>0.008108978541541186</x:v>
      </x:c>
      <x:c r="AA126" s="59" t="n">
        <x:v>0.017199984565188252</x:v>
      </x:c>
    </x:row>
    <x:row r="127">
      <x:c r="A127" s="53" t="str">
        <x:v>KR</x:v>
      </x:c>
      <x:c r="B127" s="53" t="str">
        <x:v>KOR</x:v>
      </x:c>
      <x:c r="C127" s="53" t="str">
        <x:v>Korea, Republic of</x:v>
      </x:c>
      <x:c r="D127" s="53" t="str">
        <x:v>TR</x:v>
      </x:c>
      <x:c r="E127" s="53" t="str">
        <x:v>TUR</x:v>
      </x:c>
      <x:c r="F127" s="53" t="str">
        <x:v>Turkey</x:v>
      </x:c>
      <x:c r="G127" s="53" t="n">
        <x:v>2017</x:v>
      </x:c>
      <x:c r="H127" s="53" t="str">
        <x:v>Issuance</x:v>
      </x:c>
      <x:c r="I127" s="53" t="str">
        <x:v>EF+B</x:v>
      </x:c>
      <x:c r="J127" s="53" t="n">
        <x:v>2</x:v>
      </x:c>
      <x:c r="K127" s="53" t="n">
        <x:v>0</x:v>
      </x:c>
      <x:c r="L127" s="53" t="n">
        <x:v>0</x:v>
      </x:c>
      <x:c r="M127" s="54" t="n">
        <x:v>493</x:v>
      </x:c>
      <x:c r="N127" s="54" t="n">
        <x:v>458.8357157558203</x:v>
      </x:c>
      <x:c r="O127" s="54" t="n">
        <x:v>305.70007287710905</x:v>
      </x:c>
      <x:c r="P127" s="54" t="n">
        <x:v>153.13564287871122</x:v>
      </x:c>
      <x:c r="Q127" s="55" t="b">
        <x:v>0</x:v>
      </x:c>
      <x:c r="R127" s="56" t="str">
        <x:v>none</x:v>
      </x:c>
      <x:c r="S127" s="57" t="str">
        <x:v>GCAP estimated restatement; Position_Residency may include GCAP interpolation/extrapolation per documentation</x:v>
      </x:c>
      <x:c r="T127" s="57" t="str">
        <x:v>diagonal set to zero + within-sample row normalization</x:v>
      </x:c>
      <x:c r="U127" s="57" t="str">
        <x:v>GCAP Restated Bilateral External Portfolios v1.8</x:v>
      </x:c>
      <x:c r="V127" s="57" t="str">
        <x:v>IMF CPIS</x:v>
      </x:c>
      <x:c r="W127" s="58" t="str">
        <x:v>https://globalcapitalallocation.s3.us-east-2.amazonaws.com/Restated_Bilateral_External_Portfolios_ReadMe.pdf</x:v>
      </x:c>
      <x:c r="X127" s="59" t="n">
        <x:v>0.0012007680385965275</x:v>
      </x:c>
      <x:c r="Y127" s="59" t="n">
        <x:v>0.001356709091604771</x:v>
      </x:c>
      <x:c r="Z127" s="59" t="n">
        <x:v>0.0013331236675668367</x:v>
      </x:c>
      <x:c r="AA127" s="59" t="n">
        <x:v>0.001002147986342423</x:v>
      </x:c>
    </x:row>
    <x:row r="128">
      <x:c r="A128" s="53" t="str">
        <x:v>KR</x:v>
      </x:c>
      <x:c r="B128" s="53" t="str">
        <x:v>KOR</x:v>
      </x:c>
      <x:c r="C128" s="53" t="str">
        <x:v>Korea, Republic of</x:v>
      </x:c>
      <x:c r="D128" s="53" t="str">
        <x:v>US</x:v>
      </x:c>
      <x:c r="E128" s="53" t="str">
        <x:v>USA</x:v>
      </x:c>
      <x:c r="F128" s="53" t="str">
        <x:v>United States</x:v>
      </x:c>
      <x:c r="G128" s="53" t="n">
        <x:v>2017</x:v>
      </x:c>
      <x:c r="H128" s="53" t="str">
        <x:v>Issuance</x:v>
      </x:c>
      <x:c r="I128" s="53" t="str">
        <x:v>EF+B</x:v>
      </x:c>
      <x:c r="J128" s="53" t="n">
        <x:v>2</x:v>
      </x:c>
      <x:c r="K128" s="53" t="n">
        <x:v>0</x:v>
      </x:c>
      <x:c r="L128" s="53" t="n">
        <x:v>0</x:v>
      </x:c>
      <x:c r="M128" s="54" t="n">
        <x:v>187013.4</x:v>
      </x:c>
      <x:c r="N128" s="54" t="n">
        <x:v>189786.8444585608</x:v>
      </x:c>
      <x:c r="O128" s="54" t="n">
        <x:v>116279.61197811586</x:v>
      </x:c>
      <x:c r="P128" s="54" t="n">
        <x:v>73507.23248044495</x:v>
      </x:c>
      <x:c r="Q128" s="55" t="b">
        <x:v>0</x:v>
      </x:c>
      <x:c r="R128" s="56" t="str">
        <x:v>none</x:v>
      </x:c>
      <x:c r="S128" s="57" t="str">
        <x:v>GCAP estimated restatement; Position_Residency may include GCAP interpolation/extrapolation per documentation</x:v>
      </x:c>
      <x:c r="T128" s="57" t="str">
        <x:v>diagonal set to zero + within-sample row normalization</x:v>
      </x:c>
      <x:c r="U128" s="57" t="str">
        <x:v>GCAP Restated Bilateral External Portfolios v1.8</x:v>
      </x:c>
      <x:c r="V128" s="57" t="str">
        <x:v>IMF CPIS</x:v>
      </x:c>
      <x:c r="W128" s="58" t="str">
        <x:v>https://globalcapitalallocation.s3.us-east-2.amazonaws.com/Restated_Bilateral_External_Portfolios_ReadMe.pdf</x:v>
      </x:c>
      <x:c r="X128" s="59" t="n">
        <x:v>0.49667009159593645</x:v>
      </x:c>
      <x:c r="Y128" s="59" t="n">
        <x:v>0.5146506694359426</x:v>
      </x:c>
      <x:c r="Z128" s="59" t="n">
        <x:v>0.5070823219784784</x:v>
      </x:c>
      <x:c r="AA128" s="59" t="n">
        <x:v>0.4810449326302669</x:v>
      </x:c>
    </x:row>
    <x:row r="129">
      <x:c r="A129" s="53" t="str">
        <x:v>KR</x:v>
      </x:c>
      <x:c r="B129" s="53" t="str">
        <x:v>KOR</x:v>
      </x:c>
      <x:c r="C129" s="53" t="str">
        <x:v>Korea, Republic of</x:v>
      </x:c>
      <x:c r="D129" s="53" t="str">
        <x:v>ZA</x:v>
      </x:c>
      <x:c r="E129" s="53" t="str">
        <x:v>ZAF</x:v>
      </x:c>
      <x:c r="F129" s="53" t="str">
        <x:v>South Africa</x:v>
      </x:c>
      <x:c r="G129" s="53" t="n">
        <x:v>2017</x:v>
      </x:c>
      <x:c r="H129" s="53" t="str">
        <x:v>Issuance</x:v>
      </x:c>
      <x:c r="I129" s="53" t="str">
        <x:v>EF+B</x:v>
      </x:c>
      <x:c r="J129" s="53" t="n">
        <x:v>2</x:v>
      </x:c>
      <x:c r="K129" s="53" t="n">
        <x:v>0</x:v>
      </x:c>
      <x:c r="L129" s="53" t="n">
        <x:v>0</x:v>
      </x:c>
      <x:c r="M129" s="54" t="n">
        <x:v>1077.8</x:v>
      </x:c>
      <x:c r="N129" s="54" t="n">
        <x:v>1136.582781445235</x:v>
      </x:c>
      <x:c r="O129" s="54" t="n">
        <x:v>975.606474597007</x:v>
      </x:c>
      <x:c r="P129" s="54" t="n">
        <x:v>160.97630684822798</x:v>
      </x:c>
      <x:c r="Q129" s="55" t="b">
        <x:v>0</x:v>
      </x:c>
      <x:c r="R129" s="56" t="str">
        <x:v>none</x:v>
      </x:c>
      <x:c r="S129" s="57" t="str">
        <x:v>GCAP estimated restatement; Position_Residency may include GCAP interpolation/extrapolation per documentation</x:v>
      </x:c>
      <x:c r="T129" s="57" t="str">
        <x:v>diagonal set to zero + within-sample row normalization</x:v>
      </x:c>
      <x:c r="U129" s="57" t="str">
        <x:v>GCAP Restated Bilateral External Portfolios v1.8</x:v>
      </x:c>
      <x:c r="V129" s="57" t="str">
        <x:v>IMF CPIS</x:v>
      </x:c>
      <x:c r="W129" s="58" t="str">
        <x:v>https://globalcapitalallocation.s3.us-east-2.amazonaws.com/Restated_Bilateral_External_Portfolios_ReadMe.pdf</x:v>
      </x:c>
      <x:c r="X129" s="59" t="n">
        <x:v>0.002974424680368332</x:v>
      </x:c>
      <x:c r="Y129" s="59" t="n">
        <x:v>0.0029660467726807752</x:v>
      </x:c>
      <x:c r="Z129" s="59" t="n">
        <x:v>0.004254510210861333</x:v>
      </x:c>
      <x:c r="AA129" s="59" t="n">
        <x:v>0.0010534587423553926</x:v>
      </x:c>
    </x:row>
    <x:row r="130">
      <x:c r="A130" s="53" t="str">
        <x:v>NO</x:v>
      </x:c>
      <x:c r="B130" s="53" t="str">
        <x:v>NOR</x:v>
      </x:c>
      <x:c r="C130" s="53" t="str">
        <x:v>Norway</x:v>
      </x:c>
      <x:c r="D130" s="53" t="str">
        <x:v>AU</x:v>
      </x:c>
      <x:c r="E130" s="53" t="str">
        <x:v>AUS</x:v>
      </x:c>
      <x:c r="F130" s="53" t="str">
        <x:v>Australia</x:v>
      </x:c>
      <x:c r="G130" s="53" t="n">
        <x:v>2017</x:v>
      </x:c>
      <x:c r="H130" s="53" t="str">
        <x:v>Fund Holdings</x:v>
      </x:c>
      <x:c r="I130" s="53" t="str">
        <x:v>EF+B</x:v>
      </x:c>
      <x:c r="J130" s="53" t="n">
        <x:v>2</x:v>
      </x:c>
      <x:c r="K130" s="53" t="n">
        <x:v>0</x:v>
      </x:c>
      <x:c r="L130" s="53" t="n">
        <x:v>0</x:v>
      </x:c>
      <x:c r="M130" s="54" t="n">
        <x:v>27820.341047503</x:v>
      </x:c>
      <x:c r="N130" s="54" t="n">
        <x:v>29880.42068642378</x:v>
      </x:c>
      <x:c r="O130" s="54" t="n">
        <x:v>16179.559594810009</x:v>
      </x:c>
      <x:c r="P130" s="54" t="n">
        <x:v>13700.86109161377</x:v>
      </x:c>
      <x:c r="Q130" s="55" t="b">
        <x:v>0</x:v>
      </x:c>
      <x:c r="R130" s="56" t="str">
        <x:v>none</x:v>
      </x:c>
      <x:c r="S130" s="57" t="str">
        <x:v>GCAP estimated restatement; Position_Residency may include GCAP interpolation/extrapolation per documentation</x:v>
      </x:c>
      <x:c r="T130" s="57" t="str">
        <x:v>diagonal set to zero + within-sample row normalization</x:v>
      </x:c>
      <x:c r="U130" s="57" t="str">
        <x:v>GCAP Restated Bilateral External Portfolios v1.8</x:v>
      </x:c>
      <x:c r="V130" s="57" t="str">
        <x:v>IMF CPIS</x:v>
      </x:c>
      <x:c r="W130" s="58" t="str">
        <x:v>https://globalcapitalallocation.s3.us-east-2.amazonaws.com/Restated_Bilateral_External_Portfolios_ReadMe.pdf</x:v>
      </x:c>
      <x:c r="X130" s="59" t="n">
        <x:v>0.028063592313345473</x:v>
      </x:c>
      <x:c r="Y130" s="59" t="n">
        <x:v>0.026773531825108384</x:v>
      </x:c>
      <x:c r="Z130" s="59" t="n">
        <x:v>0.023211281819786562</x:v>
      </x:c>
      <x:c r="AA130" s="59" t="n">
        <x:v>0.03726261305213531</x:v>
      </x:c>
    </x:row>
    <x:row r="131">
      <x:c r="A131" s="53" t="str">
        <x:v>NO</x:v>
      </x:c>
      <x:c r="B131" s="53" t="str">
        <x:v>NOR</x:v>
      </x:c>
      <x:c r="C131" s="53" t="str">
        <x:v>Norway</x:v>
      </x:c>
      <x:c r="D131" s="53" t="str">
        <x:v>BR</x:v>
      </x:c>
      <x:c r="E131" s="53" t="str">
        <x:v>BRA</x:v>
      </x:c>
      <x:c r="F131" s="53" t="str">
        <x:v>Brazil</x:v>
      </x:c>
      <x:c r="G131" s="53" t="n">
        <x:v>2017</x:v>
      </x:c>
      <x:c r="H131" s="53" t="str">
        <x:v>Fund Holdings</x:v>
      </x:c>
      <x:c r="I131" s="53" t="str">
        <x:v>EF+B</x:v>
      </x:c>
      <x:c r="J131" s="53" t="n">
        <x:v>2</x:v>
      </x:c>
      <x:c r="K131" s="53" t="n">
        <x:v>0</x:v>
      </x:c>
      <x:c r="L131" s="53" t="n">
        <x:v>0</x:v>
      </x:c>
      <x:c r="M131" s="54" t="n">
        <x:v>9641.29110840438</x:v>
      </x:c>
      <x:c r="N131" s="54" t="n">
        <x:v>8392.144546508789</x:v>
      </x:c>
      <x:c r="O131" s="54" t="n">
        <x:v>5155.639343261719</x:v>
      </x:c>
      <x:c r="P131" s="54" t="n">
        <x:v>3236.5052032470703</x:v>
      </x:c>
      <x:c r="Q131" s="55" t="b">
        <x:v>0</x:v>
      </x:c>
      <x:c r="R131" s="56" t="str">
        <x:v>none</x:v>
      </x:c>
      <x:c r="S131" s="57" t="str">
        <x:v>GCAP estimated restatement; Position_Residency may include GCAP interpolation/extrapolation per documentation</x:v>
      </x:c>
      <x:c r="T131" s="57" t="str">
        <x:v>diagonal set to zero + within-sample row normalization</x:v>
      </x:c>
      <x:c r="U131" s="57" t="str">
        <x:v>GCAP Restated Bilateral External Portfolios v1.8</x:v>
      </x:c>
      <x:c r="V131" s="57" t="str">
        <x:v>IMF CPIS</x:v>
      </x:c>
      <x:c r="W131" s="58" t="str">
        <x:v>https://globalcapitalallocation.s3.us-east-2.amazonaws.com/Restated_Bilateral_External_Portfolios_ReadMe.pdf</x:v>
      </x:c>
      <x:c r="X131" s="59" t="n">
        <x:v>0.007881874410653605</x:v>
      </x:c>
      <x:c r="Y131" s="59" t="n">
        <x:v>0.00927851365607783</x:v>
      </x:c>
      <x:c r="Z131" s="59" t="n">
        <x:v>0.007396307486392511</x:v>
      </x:c>
      <x:c r="AA131" s="59" t="n">
        <x:v>0.008802413236905029</x:v>
      </x:c>
    </x:row>
    <x:row r="132">
      <x:c r="A132" s="53" t="str">
        <x:v>NO</x:v>
      </x:c>
      <x:c r="B132" s="53" t="str">
        <x:v>NOR</x:v>
      </x:c>
      <x:c r="C132" s="53" t="str">
        <x:v>Norway</x:v>
      </x:c>
      <x:c r="D132" s="53" t="str">
        <x:v>CA</x:v>
      </x:c>
      <x:c r="E132" s="53" t="str">
        <x:v>CAN</x:v>
      </x:c>
      <x:c r="F132" s="53" t="str">
        <x:v>Canada</x:v>
      </x:c>
      <x:c r="G132" s="53" t="n">
        <x:v>2017</x:v>
      </x:c>
      <x:c r="H132" s="53" t="str">
        <x:v>Fund Holdings</x:v>
      </x:c>
      <x:c r="I132" s="53" t="str">
        <x:v>EF+B</x:v>
      </x:c>
      <x:c r="J132" s="53" t="n">
        <x:v>2</x:v>
      </x:c>
      <x:c r="K132" s="53" t="n">
        <x:v>0</x:v>
      </x:c>
      <x:c r="L132" s="53" t="n">
        <x:v>0</x:v>
      </x:c>
      <x:c r="M132" s="54" t="n">
        <x:v>35093.3008526187</x:v>
      </x:c>
      <x:c r="N132" s="54" t="n">
        <x:v>36226.2940325737</x:v>
      </x:c>
      <x:c r="O132" s="54" t="n">
        <x:v>18219.05131793022</x:v>
      </x:c>
      <x:c r="P132" s="54" t="n">
        <x:v>18007.24271464348</x:v>
      </x:c>
      <x:c r="Q132" s="55" t="b">
        <x:v>0</x:v>
      </x:c>
      <x:c r="R132" s="56" t="str">
        <x:v>none</x:v>
      </x:c>
      <x:c r="S132" s="57" t="str">
        <x:v>GCAP estimated restatement; Position_Residency may include GCAP interpolation/extrapolation per documentation</x:v>
      </x:c>
      <x:c r="T132" s="57" t="str">
        <x:v>diagonal set to zero + within-sample row normalization</x:v>
      </x:c>
      <x:c r="U132" s="57" t="str">
        <x:v>GCAP Restated Bilateral External Portfolios v1.8</x:v>
      </x:c>
      <x:c r="V132" s="57" t="str">
        <x:v>IMF CPIS</x:v>
      </x:c>
      <x:c r="W132" s="58" t="str">
        <x:v>https://globalcapitalallocation.s3.us-east-2.amazonaws.com/Restated_Bilateral_External_Portfolios_ReadMe.pdf</x:v>
      </x:c>
      <x:c r="X132" s="59" t="n">
        <x:v>0.034023615578325526</x:v>
      </x:c>
      <x:c r="Y132" s="59" t="n">
        <x:v>0.03377282850779504</x:v>
      </x:c>
      <x:c r="Z132" s="59" t="n">
        <x:v>0.026137147439123355</x:v>
      </x:c>
      <x:c r="AA132" s="59" t="n">
        <x:v>0.048974798950582495</x:v>
      </x:c>
    </x:row>
    <x:row r="133">
      <x:c r="A133" s="53" t="str">
        <x:v>NO</x:v>
      </x:c>
      <x:c r="B133" s="53" t="str">
        <x:v>NOR</x:v>
      </x:c>
      <x:c r="C133" s="53" t="str">
        <x:v>Norway</x:v>
      </x:c>
      <x:c r="D133" s="53" t="str">
        <x:v>CH</x:v>
      </x:c>
      <x:c r="E133" s="53" t="str">
        <x:v>CHE</x:v>
      </x:c>
      <x:c r="F133" s="53" t="str">
        <x:v>Switzerland</x:v>
      </x:c>
      <x:c r="G133" s="53" t="n">
        <x:v>2017</x:v>
      </x:c>
      <x:c r="H133" s="53" t="str">
        <x:v>Fund Holdings</x:v>
      </x:c>
      <x:c r="I133" s="53" t="str">
        <x:v>EF+B</x:v>
      </x:c>
      <x:c r="J133" s="53" t="n">
        <x:v>2</x:v>
      </x:c>
      <x:c r="K133" s="53" t="n">
        <x:v>0</x:v>
      </x:c>
      <x:c r="L133" s="53" t="n">
        <x:v>0</x:v>
      </x:c>
      <x:c r="M133" s="54" t="n">
        <x:v>37925.822168087696</x:v>
      </x:c>
      <x:c r="N133" s="54" t="n">
        <x:v>39803.29638028145</x:v>
      </x:c>
      <x:c r="O133" s="54" t="n">
        <x:v>31765.54268670082</x:v>
      </x:c>
      <x:c r="P133" s="54" t="n">
        <x:v>8037.753693580628</x:v>
      </x:c>
      <x:c r="Q133" s="55" t="b">
        <x:v>0</x:v>
      </x:c>
      <x:c r="R133" s="56" t="str">
        <x:v>none</x:v>
      </x:c>
      <x:c r="S133" s="57" t="str">
        <x:v>GCAP estimated restatement; Position_Residency may include GCAP interpolation/extrapolation per documentation</x:v>
      </x:c>
      <x:c r="T133" s="57" t="str">
        <x:v>diagonal set to zero + within-sample row normalization</x:v>
      </x:c>
      <x:c r="U133" s="57" t="str">
        <x:v>GCAP Restated Bilateral External Portfolios v1.8</x:v>
      </x:c>
      <x:c r="V133" s="57" t="str">
        <x:v>IMF CPIS</x:v>
      </x:c>
      <x:c r="W133" s="58" t="str">
        <x:v>https://globalcapitalallocation.s3.us-east-2.amazonaws.com/Restated_Bilateral_External_Portfolios_ReadMe.pdf</x:v>
      </x:c>
      <x:c r="X133" s="59" t="n">
        <x:v>0.03738312435644522</x:v>
      </x:c>
      <x:c r="Y133" s="59" t="n">
        <x:v>0.03649876919470167</x:v>
      </x:c>
      <x:c r="Z133" s="59" t="n">
        <x:v>0.0455710156471741</x:v>
      </x:c>
      <x:c r="AA133" s="59" t="n">
        <x:v>0.021860502320952185</x:v>
      </x:c>
    </x:row>
    <x:row r="134">
      <x:c r="A134" s="53" t="str">
        <x:v>NO</x:v>
      </x:c>
      <x:c r="B134" s="53" t="str">
        <x:v>NOR</x:v>
      </x:c>
      <x:c r="C134" s="53" t="str">
        <x:v>Norway</x:v>
      </x:c>
      <x:c r="D134" s="53" t="str">
        <x:v>CN</x:v>
      </x:c>
      <x:c r="E134" s="53" t="str">
        <x:v>CHN</x:v>
      </x:c>
      <x:c r="F134" s="53" t="str">
        <x:v>China</x:v>
      </x:c>
      <x:c r="G134" s="53" t="n">
        <x:v>2017</x:v>
      </x:c>
      <x:c r="H134" s="53" t="str">
        <x:v>Fund Holdings</x:v>
      </x:c>
      <x:c r="I134" s="53" t="str">
        <x:v>EF+B</x:v>
      </x:c>
      <x:c r="J134" s="53" t="n">
        <x:v>2</x:v>
      </x:c>
      <x:c r="K134" s="53" t="n">
        <x:v>0</x:v>
      </x:c>
      <x:c r="L134" s="53" t="n">
        <x:v>0</x:v>
      </x:c>
      <x:c r="M134" s="54" t="n">
        <x:v>14287.210718635859</x:v>
      </x:c>
      <x:c r="N134" s="54" t="n">
        <x:v>30136.600479125977</x:v>
      </x:c>
      <x:c r="O134" s="54" t="n">
        <x:v>27625.343284606934</x:v>
      </x:c>
      <x:c r="P134" s="54" t="n">
        <x:v>2511.257194519043</x:v>
      </x:c>
      <x:c r="Q134" s="55" t="b">
        <x:v>0</x:v>
      </x:c>
      <x:c r="R134" s="56" t="str">
        <x:v>none</x:v>
      </x:c>
      <x:c r="S134" s="57" t="str">
        <x:v>GCAP estimated restatement; Position_Residency may include GCAP interpolation/extrapolation per documentation</x:v>
      </x:c>
      <x:c r="T134" s="57" t="str">
        <x:v>diagonal set to zero + within-sample row normalization</x:v>
      </x:c>
      <x:c r="U134" s="57" t="str">
        <x:v>GCAP Restated Bilateral External Portfolios v1.8</x:v>
      </x:c>
      <x:c r="V134" s="57" t="str">
        <x:v>IMF CPIS</x:v>
      </x:c>
      <x:c r="W134" s="58" t="str">
        <x:v>https://globalcapitalallocation.s3.us-east-2.amazonaws.com/Restated_Bilateral_External_Portfolios_ReadMe.pdf</x:v>
      </x:c>
      <x:c r="X134" s="59" t="n">
        <x:v>0.02830419552762948</x:v>
      </x:c>
      <x:c r="Y134" s="59" t="n">
        <x:v>0.013749619036455328</x:v>
      </x:c>
      <x:c r="Z134" s="59" t="n">
        <x:v>0.039631463674267536</x:v>
      </x:c>
      <x:c r="AA134" s="59" t="n">
        <x:v>0.006829936052050875</x:v>
      </x:c>
    </x:row>
    <x:row r="135">
      <x:c r="A135" s="53" t="str">
        <x:v>NO</x:v>
      </x:c>
      <x:c r="B135" s="53" t="str">
        <x:v>NOR</x:v>
      </x:c>
      <x:c r="C135" s="53" t="str">
        <x:v>Norway</x:v>
      </x:c>
      <x:c r="D135" s="53" t="str">
        <x:v>EA</x:v>
      </x:c>
      <x:c r="E135" s="53" t="str">
        <x:v>EMU</x:v>
      </x:c>
      <x:c r="F135" s="53" t="str">
        <x:v>European Monetary Union</x:v>
      </x:c>
      <x:c r="G135" s="53" t="n">
        <x:v>2017</x:v>
      </x:c>
      <x:c r="H135" s="53" t="str">
        <x:v>Fund Holdings</x:v>
      </x:c>
      <x:c r="I135" s="53" t="str">
        <x:v>EF+B</x:v>
      </x:c>
      <x:c r="J135" s="53" t="n">
        <x:v>38</x:v>
      </x:c>
      <x:c r="K135" s="53" t="n">
        <x:v>0</x:v>
      </x:c>
      <x:c r="L135" s="53" t="n">
        <x:v>0</x:v>
      </x:c>
      <x:c r="M135" s="54" t="n">
        <x:v>296240.56029232644</x:v>
      </x:c>
      <x:c r="N135" s="54" t="n">
        <x:v>296628.06495910883</x:v>
      </x:c>
      <x:c r="O135" s="54" t="n">
        <x:v>178520.6929116845</x:v>
      </x:c>
      <x:c r="P135" s="54" t="n">
        <x:v>118107.37204742432</x:v>
      </x:c>
      <x:c r="Q135" s="55" t="b">
        <x:v>0</x:v>
      </x:c>
      <x:c r="R135" s="56" t="str">
        <x:v>none</x:v>
      </x:c>
      <x:c r="S135" s="57" t="str">
        <x:v>GCAP estimated restatement; Position_Residency may include GCAP interpolation/extrapolation per documentation</x:v>
      </x:c>
      <x:c r="T135" s="57" t="str">
        <x:v>EA issuer aggregation + diagonal set to zero + within-sample row normalization</x:v>
      </x:c>
      <x:c r="U135" s="57" t="str">
        <x:v>GCAP Restated Bilateral External Portfolios v1.8</x:v>
      </x:c>
      <x:c r="V135" s="57" t="str">
        <x:v>IMF CPIS</x:v>
      </x:c>
      <x:c r="W135" s="58" t="str">
        <x:v>https://globalcapitalallocation.s3.us-east-2.amazonaws.com/Restated_Bilateral_External_Portfolios_ReadMe.pdf</x:v>
      </x:c>
      <x:c r="X135" s="59" t="n">
        <x:v>0.27859209785126005</x:v>
      </x:c>
      <x:c r="Y135" s="59" t="n">
        <x:v>0.285093775641777</x:v>
      </x:c>
      <x:c r="Z135" s="59" t="n">
        <x:v>0.25610673081397556</x:v>
      </x:c>
      <x:c r="AA135" s="59" t="n">
        <x:v>0.3212199053606622</x:v>
      </x:c>
    </x:row>
    <x:row r="136">
      <x:c r="A136" s="53" t="str">
        <x:v>NO</x:v>
      </x:c>
      <x:c r="B136" s="53" t="str">
        <x:v>NOR</x:v>
      </x:c>
      <x:c r="C136" s="53" t="str">
        <x:v>Norway</x:v>
      </x:c>
      <x:c r="D136" s="53" t="str">
        <x:v>UK</x:v>
      </x:c>
      <x:c r="E136" s="53" t="str">
        <x:v>GBR</x:v>
      </x:c>
      <x:c r="F136" s="53" t="str">
        <x:v>United Kingdom</x:v>
      </x:c>
      <x:c r="G136" s="53" t="n">
        <x:v>2017</x:v>
      </x:c>
      <x:c r="H136" s="53" t="str">
        <x:v>Fund Holdings</x:v>
      </x:c>
      <x:c r="I136" s="53" t="str">
        <x:v>EF+B</x:v>
      </x:c>
      <x:c r="J136" s="53" t="n">
        <x:v>2</x:v>
      </x:c>
      <x:c r="K136" s="53" t="n">
        <x:v>0</x:v>
      </x:c>
      <x:c r="L136" s="53" t="n">
        <x:v>0</x:v>
      </x:c>
      <x:c r="M136" s="54" t="n">
        <x:v>91205.48112058459</x:v>
      </x:c>
      <x:c r="N136" s="54" t="n">
        <x:v>86788.82504273951</x:v>
      </x:c>
      <x:c r="O136" s="54" t="n">
        <x:v>63018.38122178614</x:v>
      </x:c>
      <x:c r="P136" s="54" t="n">
        <x:v>23770.44382095337</x:v>
      </x:c>
      <x:c r="Q136" s="55" t="b">
        <x:v>0</x:v>
      </x:c>
      <x:c r="R136" s="56" t="str">
        <x:v>none</x:v>
      </x:c>
      <x:c r="S136" s="57" t="str">
        <x:v>GCAP estimated restatement; Position_Residency may include GCAP interpolation/extrapolation per documentation</x:v>
      </x:c>
      <x:c r="T136" s="57" t="str">
        <x:v>diagonal set to zero + within-sample row normalization</x:v>
      </x:c>
      <x:c r="U136" s="57" t="str">
        <x:v>GCAP Restated Bilateral External Portfolios v1.8</x:v>
      </x:c>
      <x:c r="V136" s="57" t="str">
        <x:v>IMF CPIS</x:v>
      </x:c>
      <x:c r="W136" s="58" t="str">
        <x:v>https://globalcapitalallocation.s3.us-east-2.amazonaws.com/Restated_Bilateral_External_Portfolios_ReadMe.pdf</x:v>
      </x:c>
      <x:c r="X136" s="59" t="n">
        <x:v>0.08151177752528536</x:v>
      </x:c>
      <x:c r="Y136" s="59" t="n">
        <x:v>0.08777364904466059</x:v>
      </x:c>
      <x:c r="Z136" s="59" t="n">
        <x:v>0.09040650320512014</x:v>
      </x:c>
      <x:c r="AA136" s="59" t="n">
        <x:v>0.06464913732465098</x:v>
      </x:c>
    </x:row>
    <x:row r="137">
      <x:c r="A137" s="53" t="str">
        <x:v>NO</x:v>
      </x:c>
      <x:c r="B137" s="53" t="str">
        <x:v>NOR</x:v>
      </x:c>
      <x:c r="C137" s="53" t="str">
        <x:v>Norway</x:v>
      </x:c>
      <x:c r="D137" s="53" t="str">
        <x:v>JP</x:v>
      </x:c>
      <x:c r="E137" s="53" t="str">
        <x:v>JPN</x:v>
      </x:c>
      <x:c r="F137" s="53" t="str">
        <x:v>Japan</x:v>
      </x:c>
      <x:c r="G137" s="53" t="n">
        <x:v>2017</x:v>
      </x:c>
      <x:c r="H137" s="53" t="str">
        <x:v>Fund Holdings</x:v>
      </x:c>
      <x:c r="I137" s="53" t="str">
        <x:v>EF+B</x:v>
      </x:c>
      <x:c r="J137" s="53" t="n">
        <x:v>2</x:v>
      </x:c>
      <x:c r="K137" s="53" t="n">
        <x:v>0</x:v>
      </x:c>
      <x:c r="L137" s="53" t="n">
        <x:v>0</x:v>
      </x:c>
      <x:c r="M137" s="54" t="n">
        <x:v>93585.01827040201</x:v>
      </x:c>
      <x:c r="N137" s="54" t="n">
        <x:v>96857.57052719593</x:v>
      </x:c>
      <x:c r="O137" s="54" t="n">
        <x:v>66735.25759994984</x:v>
      </x:c>
      <x:c r="P137" s="54" t="n">
        <x:v>30122.312927246094</x:v>
      </x:c>
      <x:c r="Q137" s="55" t="b">
        <x:v>0</x:v>
      </x:c>
      <x:c r="R137" s="56" t="str">
        <x:v>none</x:v>
      </x:c>
      <x:c r="S137" s="57" t="str">
        <x:v>GCAP estimated restatement; Position_Residency may include GCAP interpolation/extrapolation per documentation</x:v>
      </x:c>
      <x:c r="T137" s="57" t="str">
        <x:v>diagonal set to zero + within-sample row normalization</x:v>
      </x:c>
      <x:c r="U137" s="57" t="str">
        <x:v>GCAP Restated Bilateral External Portfolios v1.8</x:v>
      </x:c>
      <x:c r="V137" s="57" t="str">
        <x:v>IMF CPIS</x:v>
      </x:c>
      <x:c r="W137" s="58" t="str">
        <x:v>https://globalcapitalallocation.s3.us-east-2.amazonaws.com/Restated_Bilateral_External_Portfolios_ReadMe.pdf</x:v>
      </x:c>
      <x:c r="X137" s="59" t="n">
        <x:v>0.09096830999341782</x:v>
      </x:c>
      <x:c r="Y137" s="59" t="n">
        <x:v>0.09006365021685622</x:v>
      </x:c>
      <x:c r="Z137" s="59" t="n">
        <x:v>0.09573875372759663</x:v>
      </x:c>
      <x:c r="AA137" s="59" t="n">
        <x:v>0.08192449243429978</x:v>
      </x:c>
    </x:row>
    <x:row r="138">
      <x:c r="A138" s="53" t="str">
        <x:v>NO</x:v>
      </x:c>
      <x:c r="B138" s="53" t="str">
        <x:v>NOR</x:v>
      </x:c>
      <x:c r="C138" s="53" t="str">
        <x:v>Norway</x:v>
      </x:c>
      <x:c r="D138" s="53" t="str">
        <x:v>KR</x:v>
      </x:c>
      <x:c r="E138" s="53" t="str">
        <x:v>KOR</x:v>
      </x:c>
      <x:c r="F138" s="53" t="str">
        <x:v>Korea, Republic of</x:v>
      </x:c>
      <x:c r="G138" s="53" t="n">
        <x:v>2017</x:v>
      </x:c>
      <x:c r="H138" s="53" t="str">
        <x:v>Fund Holdings</x:v>
      </x:c>
      <x:c r="I138" s="53" t="str">
        <x:v>EF+B</x:v>
      </x:c>
      <x:c r="J138" s="53" t="n">
        <x:v>2</x:v>
      </x:c>
      <x:c r="K138" s="53" t="n">
        <x:v>0</x:v>
      </x:c>
      <x:c r="L138" s="53" t="n">
        <x:v>0</x:v>
      </x:c>
      <x:c r="M138" s="54" t="n">
        <x:v>21670.40194884291</x:v>
      </x:c>
      <x:c r="N138" s="54" t="n">
        <x:v>21860.824655056</x:v>
      </x:c>
      <x:c r="O138" s="54" t="n">
        <x:v>14863.931460857391</x:v>
      </x:c>
      <x:c r="P138" s="54" t="n">
        <x:v>6996.893194198608</x:v>
      </x:c>
      <x:c r="Q138" s="55" t="b">
        <x:v>0</x:v>
      </x:c>
      <x:c r="R138" s="56" t="str">
        <x:v>none</x:v>
      </x:c>
      <x:c r="S138" s="57" t="str">
        <x:v>GCAP estimated restatement; Position_Residency may include GCAP interpolation/extrapolation per documentation</x:v>
      </x:c>
      <x:c r="T138" s="57" t="str">
        <x:v>diagonal set to zero + within-sample row normalization</x:v>
      </x:c>
      <x:c r="U138" s="57" t="str">
        <x:v>GCAP Restated Bilateral External Portfolios v1.8</x:v>
      </x:c>
      <x:c r="V138" s="57" t="str">
        <x:v>IMF CPIS</x:v>
      </x:c>
      <x:c r="W138" s="58" t="str">
        <x:v>https://globalcapitalallocation.s3.us-east-2.amazonaws.com/Restated_Bilateral_External_Portfolios_ReadMe.pdf</x:v>
      </x:c>
      <x:c r="X138" s="59" t="n">
        <x:v>0.020531614236333845</x:v>
      </x:c>
      <x:c r="Y138" s="59" t="n">
        <x:v>0.020854999413902273</x:v>
      </x:c>
      <x:c r="Z138" s="59" t="n">
        <x:v>0.021323874736282895</x:v>
      </x:c>
      <x:c r="AA138" s="59" t="n">
        <x:v>0.01902964506531117</x:v>
      </x:c>
    </x:row>
    <x:row r="139">
      <x:c r="A139" s="53" t="str">
        <x:v>NO</x:v>
      </x:c>
      <x:c r="B139" s="53" t="str">
        <x:v>NOR</x:v>
      </x:c>
      <x:c r="C139" s="53" t="str">
        <x:v>Norway</x:v>
      </x:c>
      <x:c r="D139" s="53" t="str">
        <x:v>NO</x:v>
      </x:c>
      <x:c r="E139" s="53" t="str">
        <x:v>NOR</x:v>
      </x:c>
      <x:c r="F139" s="53" t="str">
        <x:v>Norway</x:v>
      </x:c>
      <x:c r="G139" s="53" t="n">
        <x:v>2017</x:v>
      </x:c>
      <x:c r="H139" s="53" t="str">
        <x:v>Fund Holdings</x:v>
      </x:c>
      <x:c r="I139" s="53" t="str">
        <x:v>EF+B</x:v>
      </x:c>
      <x:c r="J139" s="53" t="n">
        <x:v>2</x:v>
      </x:c>
      <x:c r="K139" s="53" t="n">
        <x:v>0</x:v>
      </x:c>
      <x:c r="L139" s="53" t="n">
        <x:v>0</x:v>
      </x:c>
      <x:c r="M139" s="54" t="n">
        <x:v>1148880.5625</x:v>
      </x:c>
      <x:c r="N139" s="54" t="n">
        <x:v>1154543.6963995546</x:v>
      </x:c>
      <x:c r="O139" s="54" t="n">
        <x:v>268165.3362569809</x:v>
      </x:c>
      <x:c r="P139" s="54" t="n">
        <x:v>886378.3601425737</x:v>
      </x:c>
      <x:c r="Q139" s="55" t="b">
        <x:v>1</x:v>
      </x:c>
      <x:c r="R139" s="56" t="str">
        <x:v>none</x:v>
      </x:c>
      <x:c r="S139" s="57" t="str">
        <x:v>GCAP estimated restatement; Position_Residency may include GCAP interpolation/extrapolation per documentation</x:v>
      </x:c>
      <x:c r="T139" s="57" t="str">
        <x:v>EA issuer aggregation + diagonal set to zero + within-sample row normalization</x:v>
      </x:c>
      <x:c r="U139" s="57" t="str">
        <x:v>GCAP Restated Bilateral External Portfolios v1.8</x:v>
      </x:c>
      <x:c r="V139" s="57" t="str">
        <x:v>IMF CPIS</x:v>
      </x:c>
      <x:c r="W139" s="58" t="str">
        <x:v>https://globalcapitalallocation.s3.us-east-2.amazonaws.com/Restated_Bilateral_External_Portfolios_ReadMe.pdf</x:v>
      </x:c>
      <x:c r="X139" s="59" t="n">
        <x:v>0</x:v>
      </x:c>
      <x:c r="Y139" s="59" t="n">
        <x:v>0</x:v>
      </x:c>
      <x:c r="Z139" s="59" t="n">
        <x:v>0</x:v>
      </x:c>
      <x:c r="AA139" s="59" t="n">
        <x:v>0</x:v>
      </x:c>
    </x:row>
    <x:row r="140">
      <x:c r="A140" s="53" t="str">
        <x:v>NO</x:v>
      </x:c>
      <x:c r="B140" s="53" t="str">
        <x:v>NOR</x:v>
      </x:c>
      <x:c r="C140" s="53" t="str">
        <x:v>Norway</x:v>
      </x:c>
      <x:c r="D140" s="53" t="str">
        <x:v>SG</x:v>
      </x:c>
      <x:c r="E140" s="53" t="str">
        <x:v>SGP</x:v>
      </x:c>
      <x:c r="F140" s="53" t="str">
        <x:v>Singapore</x:v>
      </x:c>
      <x:c r="G140" s="53" t="n">
        <x:v>2017</x:v>
      </x:c>
      <x:c r="H140" s="53" t="str">
        <x:v>Fund Holdings</x:v>
      </x:c>
      <x:c r="I140" s="53" t="str">
        <x:v>EF+B</x:v>
      </x:c>
      <x:c r="J140" s="53" t="n">
        <x:v>2</x:v>
      </x:c>
      <x:c r="K140" s="53" t="n">
        <x:v>0</x:v>
      </x:c>
      <x:c r="L140" s="53" t="n">
        <x:v>0</x:v>
      </x:c>
      <x:c r="M140" s="54" t="n">
        <x:v>6561.8757612667405</x:v>
      </x:c>
      <x:c r="N140" s="54" t="n">
        <x:v>5233.2779541015625</x:v>
      </x:c>
      <x:c r="O140" s="54" t="n">
        <x:v>3260.561767578125</x:v>
      </x:c>
      <x:c r="P140" s="54" t="n">
        <x:v>1972.7161865234375</x:v>
      </x:c>
      <x:c r="Q140" s="55" t="b">
        <x:v>0</x:v>
      </x:c>
      <x:c r="R140" s="56" t="str">
        <x:v>none</x:v>
      </x:c>
      <x:c r="S140" s="57" t="str">
        <x:v>GCAP estimated restatement; Position_Residency may include GCAP interpolation/extrapolation per documentation</x:v>
      </x:c>
      <x:c r="T140" s="57" t="str">
        <x:v>diagonal set to zero + within-sample row normalization</x:v>
      </x:c>
      <x:c r="U140" s="57" t="str">
        <x:v>GCAP Restated Bilateral External Portfolios v1.8</x:v>
      </x:c>
      <x:c r="V140" s="57" t="str">
        <x:v>IMF CPIS</x:v>
      </x:c>
      <x:c r="W140" s="58" t="str">
        <x:v>https://globalcapitalallocation.s3.us-east-2.amazonaws.com/Restated_Bilateral_External_Portfolios_ReadMe.pdf</x:v>
      </x:c>
      <x:c r="X140" s="59" t="n">
        <x:v>0.004915077351406004</x:v>
      </x:c>
      <x:c r="Y140" s="59" t="n">
        <x:v>0.006314968936818654</x:v>
      </x:c>
      <x:c r="Z140" s="59" t="n">
        <x:v>0.004677619167233332</x:v>
      </x:c>
      <x:c r="AA140" s="59" t="n">
        <x:v>0.005365251091050114</x:v>
      </x:c>
    </x:row>
    <x:row r="141">
      <x:c r="A141" s="53" t="str">
        <x:v>NO</x:v>
      </x:c>
      <x:c r="B141" s="53" t="str">
        <x:v>NOR</x:v>
      </x:c>
      <x:c r="C141" s="53" t="str">
        <x:v>Norway</x:v>
      </x:c>
      <x:c r="D141" s="53" t="str">
        <x:v>TR</x:v>
      </x:c>
      <x:c r="E141" s="53" t="str">
        <x:v>TUR</x:v>
      </x:c>
      <x:c r="F141" s="53" t="str">
        <x:v>Turkey</x:v>
      </x:c>
      <x:c r="G141" s="53" t="n">
        <x:v>2017</x:v>
      </x:c>
      <x:c r="H141" s="53" t="str">
        <x:v>Fund Holdings</x:v>
      </x:c>
      <x:c r="I141" s="53" t="str">
        <x:v>EF+B</x:v>
      </x:c>
      <x:c r="J141" s="53" t="n">
        <x:v>2</x:v>
      </x:c>
      <x:c r="K141" s="53" t="n">
        <x:v>0</x:v>
      </x:c>
      <x:c r="L141" s="53" t="n">
        <x:v>0</x:v>
      </x:c>
      <x:c r="M141" s="54" t="n">
        <x:v>3221.8026796589497</x:v>
      </x:c>
      <x:c r="N141" s="54" t="n">
        <x:v>3218.7496337890625</x:v>
      </x:c>
      <x:c r="O141" s="54" t="n">
        <x:v>1636.5328369140625</x:v>
      </x:c>
      <x:c r="P141" s="54" t="n">
        <x:v>1582.216796875</x:v>
      </x:c>
      <x:c r="Q141" s="55" t="b">
        <x:v>0</x:v>
      </x:c>
      <x:c r="R141" s="56" t="str">
        <x:v>none</x:v>
      </x:c>
      <x:c r="S141" s="57" t="str">
        <x:v>GCAP estimated restatement; Position_Residency may include GCAP interpolation/extrapolation per documentation</x:v>
      </x:c>
      <x:c r="T141" s="57" t="str">
        <x:v>diagonal set to zero + within-sample row normalization</x:v>
      </x:c>
      <x:c r="U141" s="57" t="str">
        <x:v>GCAP Restated Bilateral External Portfolios v1.8</x:v>
      </x:c>
      <x:c r="V141" s="57" t="str">
        <x:v>IMF CPIS</x:v>
      </x:c>
      <x:c r="W141" s="58" t="str">
        <x:v>https://globalcapitalallocation.s3.us-east-2.amazonaws.com/Restated_Bilateral_External_Portfolios_ReadMe.pdf</x:v>
      </x:c>
      <x:c r="X141" s="59" t="n">
        <x:v>0.003023039013718697</x:v>
      </x:c>
      <x:c r="Y141" s="59" t="n">
        <x:v>0.0031005743758058817</x:v>
      </x:c>
      <x:c r="Z141" s="59" t="n">
        <x:v>0.0023477786686562255</x:v>
      </x:c>
      <x:c r="AA141" s="59" t="n">
        <x:v>0.004303199037805712</x:v>
      </x:c>
    </x:row>
    <x:row r="142">
      <x:c r="A142" s="53" t="str">
        <x:v>NO</x:v>
      </x:c>
      <x:c r="B142" s="53" t="str">
        <x:v>NOR</x:v>
      </x:c>
      <x:c r="C142" s="53" t="str">
        <x:v>Norway</x:v>
      </x:c>
      <x:c r="D142" s="53" t="str">
        <x:v>US</x:v>
      </x:c>
      <x:c r="E142" s="53" t="str">
        <x:v>USA</x:v>
      </x:c>
      <x:c r="F142" s="53" t="str">
        <x:v>United States</x:v>
      </x:c>
      <x:c r="G142" s="53" t="n">
        <x:v>2017</x:v>
      </x:c>
      <x:c r="H142" s="53" t="str">
        <x:v>Fund Holdings</x:v>
      </x:c>
      <x:c r="I142" s="53" t="str">
        <x:v>EF+B</x:v>
      </x:c>
      <x:c r="J142" s="53" t="n">
        <x:v>2</x:v>
      </x:c>
      <x:c r="K142" s="53" t="n">
        <x:v>0</x:v>
      </x:c>
      <x:c r="L142" s="53" t="n">
        <x:v>0</x:v>
      </x:c>
      <x:c r="M142" s="54" t="n">
        <x:v>394725.334957369</x:v>
      </x:c>
      <x:c r="N142" s="54" t="n">
        <x:v>402311.7098657638</x:v>
      </x:c>
      <x:c r="O142" s="54" t="n">
        <x:v>264358.32951565087</x:v>
      </x:c>
      <x:c r="P142" s="54" t="n">
        <x:v>137953.38035011292</x:v>
      </x:c>
      <x:c r="Q142" s="55" t="b">
        <x:v>0</x:v>
      </x:c>
      <x:c r="R142" s="56" t="str">
        <x:v>none</x:v>
      </x:c>
      <x:c r="S142" s="57" t="str">
        <x:v>GCAP estimated restatement; Position_Residency may include GCAP interpolation/extrapolation per documentation</x:v>
      </x:c>
      <x:c r="T142" s="57" t="str">
        <x:v>diagonal set to zero + within-sample row normalization</x:v>
      </x:c>
      <x:c r="U142" s="57" t="str">
        <x:v>GCAP Restated Bilateral External Portfolios v1.8</x:v>
      </x:c>
      <x:c r="V142" s="57" t="str">
        <x:v>IMF CPIS</x:v>
      </x:c>
      <x:c r="W142" s="58" t="str">
        <x:v>https://globalcapitalallocation.s3.us-east-2.amazonaws.com/Restated_Bilateral_External_Portfolios_ReadMe.pdf</x:v>
      </x:c>
      <x:c r="X142" s="59" t="n">
        <x:v>0.3778498277197113</x:v>
      </x:c>
      <x:c r="Y142" s="59" t="n">
        <x:v>0.37987281678583984</x:v>
      </x:c>
      <x:c r="Z142" s="59" t="n">
        <x:v>0.37924985855388027</x:v>
      </x:c>
      <x:c r="AA142" s="59" t="n">
        <x:v>0.3751956462332708</x:v>
      </x:c>
    </x:row>
    <x:row r="143">
      <x:c r="A143" s="53" t="str">
        <x:v>NO</x:v>
      </x:c>
      <x:c r="B143" s="53" t="str">
        <x:v>NOR</x:v>
      </x:c>
      <x:c r="C143" s="53" t="str">
        <x:v>Norway</x:v>
      </x:c>
      <x:c r="D143" s="53" t="str">
        <x:v>ZA</x:v>
      </x:c>
      <x:c r="E143" s="53" t="str">
        <x:v>ZAF</x:v>
      </x:c>
      <x:c r="F143" s="53" t="str">
        <x:v>South Africa</x:v>
      </x:c>
      <x:c r="G143" s="53" t="n">
        <x:v>2017</x:v>
      </x:c>
      <x:c r="H143" s="53" t="str">
        <x:v>Fund Holdings</x:v>
      </x:c>
      <x:c r="I143" s="53" t="str">
        <x:v>EF+B</x:v>
      </x:c>
      <x:c r="J143" s="53" t="n">
        <x:v>2</x:v>
      </x:c>
      <x:c r="K143" s="53" t="n">
        <x:v>0</x:v>
      </x:c>
      <x:c r="L143" s="53" t="n">
        <x:v>0</x:v>
      </x:c>
      <x:c r="M143" s="54" t="n">
        <x:v>7120.21924482339</x:v>
      </x:c>
      <x:c r="N143" s="54" t="n">
        <x:v>7401.915029644966</x:v>
      </x:c>
      <x:c r="O143" s="54" t="n">
        <x:v>5717.018545269966</x:v>
      </x:c>
      <x:c r="P143" s="54" t="n">
        <x:v>1684.896484375</x:v>
      </x:c>
      <x:c r="Q143" s="55" t="b">
        <x:v>0</x:v>
      </x:c>
      <x:c r="R143" s="56" t="str">
        <x:v>none</x:v>
      </x:c>
      <x:c r="S143" s="57" t="str">
        <x:v>GCAP estimated restatement; Position_Residency may include GCAP interpolation/extrapolation per documentation</x:v>
      </x:c>
      <x:c r="T143" s="57" t="str">
        <x:v>diagonal set to zero + within-sample row normalization</x:v>
      </x:c>
      <x:c r="U143" s="57" t="str">
        <x:v>GCAP Restated Bilateral External Portfolios v1.8</x:v>
      </x:c>
      <x:c r="V143" s="57" t="str">
        <x:v>IMF CPIS</x:v>
      </x:c>
      <x:c r="W143" s="58" t="str">
        <x:v>https://globalcapitalallocation.s3.us-east-2.amazonaws.com/Restated_Bilateral_External_Portfolios_ReadMe.pdf</x:v>
      </x:c>
      <x:c r="X143" s="59" t="n">
        <x:v>0.006951854122467583</x:v>
      </x:c>
      <x:c r="Y143" s="59" t="n">
        <x:v>0.0068523033642011524</x:v>
      </x:c>
      <x:c r="Z143" s="59" t="n">
        <x:v>0.008201665060510914</x:v>
      </x:c>
      <x:c r="AA143" s="59" t="n">
        <x:v>0.004582459840323345</x:v>
      </x:c>
    </x:row>
    <x:row r="144">
      <x:c r="A144" s="53" t="str">
        <x:v>SG</x:v>
      </x:c>
      <x:c r="B144" s="53" t="str">
        <x:v>SGP</x:v>
      </x:c>
      <x:c r="C144" s="53" t="str">
        <x:v>Singapore</x:v>
      </x:c>
      <x:c r="D144" s="53" t="str">
        <x:v>AU</x:v>
      </x:c>
      <x:c r="E144" s="53" t="str">
        <x:v>AUS</x:v>
      </x:c>
      <x:c r="F144" s="53" t="str">
        <x:v>Australia</x:v>
      </x:c>
      <x:c r="G144" s="53" t="n">
        <x:v>2017</x:v>
      </x:c>
      <x:c r="H144" s="53" t="str">
        <x:v>Issuance</x:v>
      </x:c>
      <x:c r="I144" s="53" t="str">
        <x:v>EF+B</x:v>
      </x:c>
      <x:c r="J144" s="53" t="n">
        <x:v>2</x:v>
      </x:c>
      <x:c r="K144" s="53" t="n">
        <x:v>0</x:v>
      </x:c>
      <x:c r="L144" s="53" t="n">
        <x:v>0</x:v>
      </x:c>
      <x:c r="M144" s="54" t="n">
        <x:v>30450.4234625168</x:v>
      </x:c>
      <x:c r="N144" s="54" t="n">
        <x:v>28837.793956901878</x:v>
      </x:c>
      <x:c r="O144" s="54" t="n">
        <x:v>11349.176125194877</x:v>
      </x:c>
      <x:c r="P144" s="54" t="n">
        <x:v>17488.617831707</x:v>
      </x:c>
      <x:c r="Q144" s="55" t="b">
        <x:v>0</x:v>
      </x:c>
      <x:c r="R144" s="56" t="str">
        <x:v>none</x:v>
      </x:c>
      <x:c r="S144" s="57" t="str">
        <x:v>GCAP estimated restatement; Position_Residency may include GCAP interpolation/extrapolation per documentation</x:v>
      </x:c>
      <x:c r="T144" s="57" t="str">
        <x:v>diagonal set to zero + within-sample row normalization</x:v>
      </x:c>
      <x:c r="U144" s="57" t="str">
        <x:v>GCAP Restated Bilateral External Portfolios v1.8</x:v>
      </x:c>
      <x:c r="V144" s="57" t="str">
        <x:v>IMF CPIS</x:v>
      </x:c>
      <x:c r="W144" s="58" t="str">
        <x:v>https://globalcapitalallocation.s3.us-east-2.amazonaws.com/Restated_Bilateral_External_Portfolios_ReadMe.pdf</x:v>
      </x:c>
      <x:c r="X144" s="59" t="n">
        <x:v>0.03556047910447764</x:v>
      </x:c>
      <x:c r="Y144" s="59" t="n">
        <x:v>0.04099314306774773</x:v>
      </x:c>
      <x:c r="Z144" s="59" t="n">
        <x:v>0.025916675048286687</x:v>
      </x:c>
      <x:c r="AA144" s="59" t="n">
        <x:v>0.04688128862675364</x:v>
      </x:c>
    </x:row>
    <x:row r="145">
      <x:c r="A145" s="53" t="str">
        <x:v>SG</x:v>
      </x:c>
      <x:c r="B145" s="53" t="str">
        <x:v>SGP</x:v>
      </x:c>
      <x:c r="C145" s="53" t="str">
        <x:v>Singapore</x:v>
      </x:c>
      <x:c r="D145" s="53" t="str">
        <x:v>BR</x:v>
      </x:c>
      <x:c r="E145" s="53" t="str">
        <x:v>BRA</x:v>
      </x:c>
      <x:c r="F145" s="53" t="str">
        <x:v>Brazil</x:v>
      </x:c>
      <x:c r="G145" s="53" t="n">
        <x:v>2017</x:v>
      </x:c>
      <x:c r="H145" s="53" t="str">
        <x:v>Issuance</x:v>
      </x:c>
      <x:c r="I145" s="53" t="str">
        <x:v>EF+B</x:v>
      </x:c>
      <x:c r="J145" s="53" t="n">
        <x:v>2</x:v>
      </x:c>
      <x:c r="K145" s="53" t="n">
        <x:v>0</x:v>
      </x:c>
      <x:c r="L145" s="53" t="n">
        <x:v>0</x:v>
      </x:c>
      <x:c r="M145" s="54" t="n">
        <x:v>994.75160855903</x:v>
      </x:c>
      <x:c r="N145" s="54" t="n">
        <x:v>2270.0337506607175</x:v>
      </x:c>
      <x:c r="O145" s="54" t="n">
        <x:v>77.34717083722353</x:v>
      </x:c>
      <x:c r="P145" s="54" t="n">
        <x:v>2192.686579823494</x:v>
      </x:c>
      <x:c r="Q145" s="55" t="b">
        <x:v>0</x:v>
      </x:c>
      <x:c r="R145" s="56" t="str">
        <x:v>none</x:v>
      </x:c>
      <x:c r="S145" s="57" t="str">
        <x:v>GCAP estimated restatement; Position_Residency may include GCAP interpolation/extrapolation per documentation</x:v>
      </x:c>
      <x:c r="T145" s="57" t="str">
        <x:v>diagonal set to zero + within-sample row normalization</x:v>
      </x:c>
      <x:c r="U145" s="57" t="str">
        <x:v>GCAP Restated Bilateral External Portfolios v1.8</x:v>
      </x:c>
      <x:c r="V145" s="57" t="str">
        <x:v>IMF CPIS</x:v>
      </x:c>
      <x:c r="W145" s="58" t="str">
        <x:v>https://globalcapitalallocation.s3.us-east-2.amazonaws.com/Restated_Bilateral_External_Portfolios_ReadMe.pdf</x:v>
      </x:c>
      <x:c r="X145" s="59" t="n">
        <x:v>0.002799225484358159</x:v>
      </x:c>
      <x:c r="Y145" s="59" t="n">
        <x:v>0.0013391601944954398</x:v>
      </x:c>
      <x:c r="Z145" s="59" t="n">
        <x:v>0.00017662793055458182</x:v>
      </x:c>
      <x:c r="AA145" s="59" t="n">
        <x:v>0.005877878595433918</x:v>
      </x:c>
    </x:row>
    <x:row r="146">
      <x:c r="A146" s="53" t="str">
        <x:v>SG</x:v>
      </x:c>
      <x:c r="B146" s="53" t="str">
        <x:v>SGP</x:v>
      </x:c>
      <x:c r="C146" s="53" t="str">
        <x:v>Singapore</x:v>
      </x:c>
      <x:c r="D146" s="53" t="str">
        <x:v>CA</x:v>
      </x:c>
      <x:c r="E146" s="53" t="str">
        <x:v>CAN</x:v>
      </x:c>
      <x:c r="F146" s="53" t="str">
        <x:v>Canada</x:v>
      </x:c>
      <x:c r="G146" s="53" t="n">
        <x:v>2017</x:v>
      </x:c>
      <x:c r="H146" s="53" t="str">
        <x:v>Issuance</x:v>
      </x:c>
      <x:c r="I146" s="53" t="str">
        <x:v>EF+B</x:v>
      </x:c>
      <x:c r="J146" s="53" t="n">
        <x:v>2</x:v>
      </x:c>
      <x:c r="K146" s="53" t="n">
        <x:v>0</x:v>
      </x:c>
      <x:c r="L146" s="53" t="n">
        <x:v>0</x:v>
      </x:c>
      <x:c r="M146" s="54" t="n">
        <x:v>20506.20155618738</x:v>
      </x:c>
      <x:c r="N146" s="54" t="n">
        <x:v>21178.76023054123</x:v>
      </x:c>
      <x:c r="O146" s="54" t="n">
        <x:v>9136.695717781782</x:v>
      </x:c>
      <x:c r="P146" s="54" t="n">
        <x:v>12042.064512759447</x:v>
      </x:c>
      <x:c r="Q146" s="55" t="b">
        <x:v>0</x:v>
      </x:c>
      <x:c r="R146" s="56" t="str">
        <x:v>none</x:v>
      </x:c>
      <x:c r="S146" s="57" t="str">
        <x:v>GCAP estimated restatement; Position_Residency may include GCAP interpolation/extrapolation per documentation</x:v>
      </x:c>
      <x:c r="T146" s="57" t="str">
        <x:v>diagonal set to zero + within-sample row normalization</x:v>
      </x:c>
      <x:c r="U146" s="57" t="str">
        <x:v>GCAP Restated Bilateral External Portfolios v1.8</x:v>
      </x:c>
      <x:c r="V146" s="57" t="str">
        <x:v>IMF CPIS</x:v>
      </x:c>
      <x:c r="W146" s="58" t="str">
        <x:v>https://globalcapitalallocation.s3.us-east-2.amazonaws.com/Restated_Bilateral_External_Portfolios_ReadMe.pdf</x:v>
      </x:c>
      <x:c r="X146" s="59" t="n">
        <x:v>0.026115966490448353</x:v>
      </x:c>
      <x:c r="Y146" s="59" t="n">
        <x:v>0.027605975831620888</x:v>
      </x:c>
      <x:c r="Z146" s="59" t="n">
        <x:v>0.02086431396611681</x:v>
      </x:c>
      <x:c r="AA146" s="59" t="n">
        <x:v>0.03228085303923413</x:v>
      </x:c>
    </x:row>
    <x:row r="147">
      <x:c r="A147" s="53" t="str">
        <x:v>SG</x:v>
      </x:c>
      <x:c r="B147" s="53" t="str">
        <x:v>SGP</x:v>
      </x:c>
      <x:c r="C147" s="53" t="str">
        <x:v>Singapore</x:v>
      </x:c>
      <x:c r="D147" s="53" t="str">
        <x:v>CH</x:v>
      </x:c>
      <x:c r="E147" s="53" t="str">
        <x:v>CHE</x:v>
      </x:c>
      <x:c r="F147" s="53" t="str">
        <x:v>Switzerland</x:v>
      </x:c>
      <x:c r="G147" s="53" t="n">
        <x:v>2017</x:v>
      </x:c>
      <x:c r="H147" s="53" t="str">
        <x:v>Issuance</x:v>
      </x:c>
      <x:c r="I147" s="53" t="str">
        <x:v>EF+B</x:v>
      </x:c>
      <x:c r="J147" s="53" t="n">
        <x:v>2</x:v>
      </x:c>
      <x:c r="K147" s="53" t="n">
        <x:v>0</x:v>
      </x:c>
      <x:c r="L147" s="53" t="n">
        <x:v>0</x:v>
      </x:c>
      <x:c r="M147" s="54" t="n">
        <x:v>10186.12150231932</x:v>
      </x:c>
      <x:c r="N147" s="54" t="n">
        <x:v>14609.059880435467</x:v>
      </x:c>
      <x:c r="O147" s="54" t="n">
        <x:v>8318.161190509796</x:v>
      </x:c>
      <x:c r="P147" s="54" t="n">
        <x:v>6290.898689925671</x:v>
      </x:c>
      <x:c r="Q147" s="55" t="b">
        <x:v>0</x:v>
      </x:c>
      <x:c r="R147" s="56" t="str">
        <x:v>none</x:v>
      </x:c>
      <x:c r="S147" s="57" t="str">
        <x:v>GCAP estimated restatement; Position_Residency may include GCAP interpolation/extrapolation per documentation</x:v>
      </x:c>
      <x:c r="T147" s="57" t="str">
        <x:v>diagonal set to zero + within-sample row normalization</x:v>
      </x:c>
      <x:c r="U147" s="57" t="str">
        <x:v>GCAP Restated Bilateral External Portfolios v1.8</x:v>
      </x:c>
      <x:c r="V147" s="57" t="str">
        <x:v>IMF CPIS</x:v>
      </x:c>
      <x:c r="W147" s="58" t="str">
        <x:v>https://globalcapitalallocation.s3.us-east-2.amazonaws.com/Restated_Bilateral_External_Portfolios_ReadMe.pdf</x:v>
      </x:c>
      <x:c r="X147" s="59" t="n">
        <x:v>0.018014733352720712</x:v>
      </x:c>
      <x:c r="Y147" s="59" t="n">
        <x:v>0.013712818692457187</x:v>
      </x:c>
      <x:c r="Z147" s="59" t="n">
        <x:v>0.01899513041260607</x:v>
      </x:c>
      <x:c r="AA147" s="59" t="n">
        <x:v>0.016863850536511217</x:v>
      </x:c>
    </x:row>
    <x:row r="148">
      <x:c r="A148" s="53" t="str">
        <x:v>SG</x:v>
      </x:c>
      <x:c r="B148" s="53" t="str">
        <x:v>SGP</x:v>
      </x:c>
      <x:c r="C148" s="53" t="str">
        <x:v>Singapore</x:v>
      </x:c>
      <x:c r="D148" s="53" t="str">
        <x:v>CN</x:v>
      </x:c>
      <x:c r="E148" s="53" t="str">
        <x:v>CHN</x:v>
      </x:c>
      <x:c r="F148" s="53" t="str">
        <x:v>China</x:v>
      </x:c>
      <x:c r="G148" s="53" t="n">
        <x:v>2017</x:v>
      </x:c>
      <x:c r="H148" s="53" t="str">
        <x:v>Issuance</x:v>
      </x:c>
      <x:c r="I148" s="53" t="str">
        <x:v>EF+B</x:v>
      </x:c>
      <x:c r="J148" s="53" t="n">
        <x:v>2</x:v>
      </x:c>
      <x:c r="K148" s="53" t="n">
        <x:v>0</x:v>
      </x:c>
      <x:c r="L148" s="53" t="n">
        <x:v>0</x:v>
      </x:c>
      <x:c r="M148" s="54" t="n">
        <x:v>122117.0073320365</x:v>
      </x:c>
      <x:c r="N148" s="54" t="n">
        <x:v>175886.14973822236</x:v>
      </x:c>
      <x:c r="O148" s="54" t="n">
        <x:v>116698.02182459831</x:v>
      </x:c>
      <x:c r="P148" s="54" t="n">
        <x:v>59188.12791362405</x:v>
      </x:c>
      <x:c r="Q148" s="55" t="b">
        <x:v>0</x:v>
      </x:c>
      <x:c r="R148" s="56" t="str">
        <x:v>none</x:v>
      </x:c>
      <x:c r="S148" s="57" t="str">
        <x:v>GCAP estimated restatement; Position_Residency may include GCAP interpolation/extrapolation per documentation</x:v>
      </x:c>
      <x:c r="T148" s="57" t="str">
        <x:v>diagonal set to zero + within-sample row normalization</x:v>
      </x:c>
      <x:c r="U148" s="57" t="str">
        <x:v>GCAP Restated Bilateral External Portfolios v1.8</x:v>
      </x:c>
      <x:c r="V148" s="57" t="str">
        <x:v>IMF CPIS</x:v>
      </x:c>
      <x:c r="W148" s="58" t="str">
        <x:v>https://globalcapitalallocation.s3.us-east-2.amazonaws.com/Restated_Bilateral_External_Portfolios_ReadMe.pdf</x:v>
      </x:c>
      <x:c r="X148" s="59" t="n">
        <x:v>0.21688884253353719</x:v>
      </x:c>
      <x:c r="Y148" s="59" t="n">
        <x:v>0.16439705538839217</x:v>
      </x:c>
      <x:c r="Z148" s="59" t="n">
        <x:v>0.26648848137018843</x:v>
      </x:c>
      <x:c r="AA148" s="59" t="n">
        <x:v>0.15866409425249492</x:v>
      </x:c>
    </x:row>
    <x:row r="149">
      <x:c r="A149" s="53" t="str">
        <x:v>SG</x:v>
      </x:c>
      <x:c r="B149" s="53" t="str">
        <x:v>SGP</x:v>
      </x:c>
      <x:c r="C149" s="53" t="str">
        <x:v>Singapore</x:v>
      </x:c>
      <x:c r="D149" s="53" t="str">
        <x:v>EA</x:v>
      </x:c>
      <x:c r="E149" s="53" t="str">
        <x:v>EMU</x:v>
      </x:c>
      <x:c r="F149" s="53" t="str">
        <x:v>European Monetary Union</x:v>
      </x:c>
      <x:c r="G149" s="53" t="n">
        <x:v>2017</x:v>
      </x:c>
      <x:c r="H149" s="53" t="str">
        <x:v>Issuance</x:v>
      </x:c>
      <x:c r="I149" s="53" t="str">
        <x:v>EF+B</x:v>
      </x:c>
      <x:c r="J149" s="53" t="n">
        <x:v>38</x:v>
      </x:c>
      <x:c r="K149" s="53" t="n">
        <x:v>0</x:v>
      </x:c>
      <x:c r="L149" s="53" t="n">
        <x:v>0</x:v>
      </x:c>
      <x:c r="M149" s="54" t="n">
        <x:v>85825.63393771574</x:v>
      </x:c>
      <x:c r="N149" s="54" t="n">
        <x:v>84413.27269551973</x:v>
      </x:c>
      <x:c r="O149" s="54" t="n">
        <x:v>44703.4572926003</x:v>
      </x:c>
      <x:c r="P149" s="54" t="n">
        <x:v>39709.81540291943</x:v>
      </x:c>
      <x:c r="Q149" s="55" t="b">
        <x:v>0</x:v>
      </x:c>
      <x:c r="R149" s="56" t="str">
        <x:v>none</x:v>
      </x:c>
      <x:c r="S149" s="57" t="str">
        <x:v>GCAP estimated restatement; Position_Residency may include GCAP interpolation/extrapolation per documentation</x:v>
      </x:c>
      <x:c r="T149" s="57" t="str">
        <x:v>EA issuer aggregation + diagonal set to zero + within-sample row normalization</x:v>
      </x:c>
      <x:c r="U149" s="57" t="str">
        <x:v>GCAP Restated Bilateral External Portfolios v1.8</x:v>
      </x:c>
      <x:c r="V149" s="57" t="str">
        <x:v>IMF CPIS</x:v>
      </x:c>
      <x:c r="W149" s="58" t="str">
        <x:v>https://globalcapitalallocation.s3.us-east-2.amazonaws.com/Restated_Bilateral_External_Portfolios_ReadMe.pdf</x:v>
      </x:c>
      <x:c r="X149" s="59" t="n">
        <x:v>0.10409174933130326</x:v>
      </x:c>
      <x:c r="Y149" s="59" t="n">
        <x:v>0.11554067532820227</x:v>
      </x:c>
      <x:c r="Z149" s="59" t="n">
        <x:v>0.10208361941051382</x:v>
      </x:c>
      <x:c r="AA149" s="59" t="n">
        <x:v>0.10644908220500948</x:v>
      </x:c>
    </x:row>
    <x:row r="150">
      <x:c r="A150" s="53" t="str">
        <x:v>SG</x:v>
      </x:c>
      <x:c r="B150" s="53" t="str">
        <x:v>SGP</x:v>
      </x:c>
      <x:c r="C150" s="53" t="str">
        <x:v>Singapore</x:v>
      </x:c>
      <x:c r="D150" s="53" t="str">
        <x:v>UK</x:v>
      </x:c>
      <x:c r="E150" s="53" t="str">
        <x:v>GBR</x:v>
      </x:c>
      <x:c r="F150" s="53" t="str">
        <x:v>United Kingdom</x:v>
      </x:c>
      <x:c r="G150" s="53" t="n">
        <x:v>2017</x:v>
      </x:c>
      <x:c r="H150" s="53" t="str">
        <x:v>Issuance</x:v>
      </x:c>
      <x:c r="I150" s="53" t="str">
        <x:v>EF+B</x:v>
      </x:c>
      <x:c r="J150" s="53" t="n">
        <x:v>2</x:v>
      </x:c>
      <x:c r="K150" s="53" t="n">
        <x:v>0</x:v>
      </x:c>
      <x:c r="L150" s="53" t="n">
        <x:v>0</x:v>
      </x:c>
      <x:c r="M150" s="54" t="n">
        <x:v>42200.610504264594</x:v>
      </x:c>
      <x:c r="N150" s="54" t="n">
        <x:v>44181.574878916144</x:v>
      </x:c>
      <x:c r="O150" s="54" t="n">
        <x:v>21955.13754928112</x:v>
      </x:c>
      <x:c r="P150" s="54" t="n">
        <x:v>22226.437329635024</x:v>
      </x:c>
      <x:c r="Q150" s="55" t="b">
        <x:v>0</x:v>
      </x:c>
      <x:c r="R150" s="56" t="str">
        <x:v>none</x:v>
      </x:c>
      <x:c r="S150" s="57" t="str">
        <x:v>GCAP estimated restatement; Position_Residency may include GCAP interpolation/extrapolation per documentation</x:v>
      </x:c>
      <x:c r="T150" s="57" t="str">
        <x:v>diagonal set to zero + within-sample row normalization</x:v>
      </x:c>
      <x:c r="U150" s="57" t="str">
        <x:v>GCAP Restated Bilateral External Portfolios v1.8</x:v>
      </x:c>
      <x:c r="V150" s="57" t="str">
        <x:v>IMF CPIS</x:v>
      </x:c>
      <x:c r="W150" s="58" t="str">
        <x:v>https://globalcapitalallocation.s3.us-east-2.amazonaws.com/Restated_Bilateral_External_Portfolios_ReadMe.pdf</x:v>
      </x:c>
      <x:c r="X150" s="59" t="n">
        <x:v>0.05448121214239375</x:v>
      </x:c>
      <x:c r="Y150" s="59" t="n">
        <x:v>0.056811547007781175</x:v>
      </x:c>
      <x:c r="Z150" s="59" t="n">
        <x:v>0.05013616488354442</x:v>
      </x:c>
      <x:c r="AA150" s="59" t="n">
        <x:v>0.059581839664076236</x:v>
      </x:c>
    </x:row>
    <x:row r="151">
      <x:c r="A151" s="53" t="str">
        <x:v>SG</x:v>
      </x:c>
      <x:c r="B151" s="53" t="str">
        <x:v>SGP</x:v>
      </x:c>
      <x:c r="C151" s="53" t="str">
        <x:v>Singapore</x:v>
      </x:c>
      <x:c r="D151" s="53" t="str">
        <x:v>JP</x:v>
      </x:c>
      <x:c r="E151" s="53" t="str">
        <x:v>JPN</x:v>
      </x:c>
      <x:c r="F151" s="53" t="str">
        <x:v>Japan</x:v>
      </x:c>
      <x:c r="G151" s="53" t="n">
        <x:v>2017</x:v>
      </x:c>
      <x:c r="H151" s="53" t="str">
        <x:v>Issuance</x:v>
      </x:c>
      <x:c r="I151" s="53" t="str">
        <x:v>EF+B</x:v>
      </x:c>
      <x:c r="J151" s="53" t="n">
        <x:v>2</x:v>
      </x:c>
      <x:c r="K151" s="53" t="n">
        <x:v>0</x:v>
      </x:c>
      <x:c r="L151" s="53" t="n">
        <x:v>0</x:v>
      </x:c>
      <x:c r="M151" s="54" t="n">
        <x:v>39903.5395780338</x:v>
      </x:c>
      <x:c r="N151" s="54" t="n">
        <x:v>43164.39037092775</x:v>
      </x:c>
      <x:c r="O151" s="54" t="n">
        <x:v>40495.11335667223</x:v>
      </x:c>
      <x:c r="P151" s="54" t="n">
        <x:v>2669.2770142555237</x:v>
      </x:c>
      <x:c r="Q151" s="55" t="b">
        <x:v>0</x:v>
      </x:c>
      <x:c r="R151" s="56" t="str">
        <x:v>none</x:v>
      </x:c>
      <x:c r="S151" s="57" t="str">
        <x:v>GCAP estimated restatement; Position_Residency may include GCAP interpolation/extrapolation per documentation</x:v>
      </x:c>
      <x:c r="T151" s="57" t="str">
        <x:v>diagonal set to zero + within-sample row normalization</x:v>
      </x:c>
      <x:c r="U151" s="57" t="str">
        <x:v>GCAP Restated Bilateral External Portfolios v1.8</x:v>
      </x:c>
      <x:c r="V151" s="57" t="str">
        <x:v>IMF CPIS</x:v>
      </x:c>
      <x:c r="W151" s="58" t="str">
        <x:v>https://globalcapitalallocation.s3.us-east-2.amazonaws.com/Restated_Bilateral_External_Portfolios_ReadMe.pdf</x:v>
      </x:c>
      <x:c r="X151" s="59" t="n">
        <x:v>0.05322690092511485</x:v>
      </x:c>
      <x:c r="Y151" s="59" t="n">
        <x:v>0.053719171059983445</x:v>
      </x:c>
      <x:c r="Z151" s="59" t="n">
        <x:v>0.0924735577570735</x:v>
      </x:c>
      <x:c r="AA151" s="59" t="n">
        <x:v>0.007155462331802698</x:v>
      </x:c>
    </x:row>
    <x:row r="152">
      <x:c r="A152" s="53" t="str">
        <x:v>SG</x:v>
      </x:c>
      <x:c r="B152" s="53" t="str">
        <x:v>SGP</x:v>
      </x:c>
      <x:c r="C152" s="53" t="str">
        <x:v>Singapore</x:v>
      </x:c>
      <x:c r="D152" s="53" t="str">
        <x:v>KR</x:v>
      </x:c>
      <x:c r="E152" s="53" t="str">
        <x:v>KOR</x:v>
      </x:c>
      <x:c r="F152" s="53" t="str">
        <x:v>Korea, Republic of</x:v>
      </x:c>
      <x:c r="G152" s="53" t="n">
        <x:v>2017</x:v>
      </x:c>
      <x:c r="H152" s="53" t="str">
        <x:v>Issuance</x:v>
      </x:c>
      <x:c r="I152" s="53" t="str">
        <x:v>EF+B</x:v>
      </x:c>
      <x:c r="J152" s="53" t="n">
        <x:v>2</x:v>
      </x:c>
      <x:c r="K152" s="53" t="n">
        <x:v>0</x:v>
      </x:c>
      <x:c r="L152" s="53" t="n">
        <x:v>0</x:v>
      </x:c>
      <x:c r="M152" s="54" t="n">
        <x:v>46730.1518778992</x:v>
      </x:c>
      <x:c r="N152" s="54" t="n">
        <x:v>46452.402474194765</x:v>
      </x:c>
      <x:c r="O152" s="54" t="n">
        <x:v>27103.940291821957</x:v>
      </x:c>
      <x:c r="P152" s="54" t="n">
        <x:v>19348.46218237281</x:v>
      </x:c>
      <x:c r="Q152" s="55" t="b">
        <x:v>0</x:v>
      </x:c>
      <x:c r="R152" s="56" t="str">
        <x:v>none</x:v>
      </x:c>
      <x:c r="S152" s="57" t="str">
        <x:v>GCAP estimated restatement; Position_Residency may include GCAP interpolation/extrapolation per documentation</x:v>
      </x:c>
      <x:c r="T152" s="57" t="str">
        <x:v>diagonal set to zero + within-sample row normalization</x:v>
      </x:c>
      <x:c r="U152" s="57" t="str">
        <x:v>GCAP Restated Bilateral External Portfolios v1.8</x:v>
      </x:c>
      <x:c r="V152" s="57" t="str">
        <x:v>IMF CPIS</x:v>
      </x:c>
      <x:c r="W152" s="58" t="str">
        <x:v>https://globalcapitalallocation.s3.us-east-2.amazonaws.com/Restated_Bilateral_External_Portfolios_ReadMe.pdf</x:v>
      </x:c>
      <x:c r="X152" s="59" t="n">
        <x:v>0.05728141653293972</x:v>
      </x:c>
      <x:c r="Y152" s="59" t="n">
        <x:v>0.06290933207764238</x:v>
      </x:c>
      <x:c r="Z152" s="59" t="n">
        <x:v>0.06189383311374531</x:v>
      </x:c>
      <x:c r="AA152" s="59" t="n">
        <x:v>0.05186692560752873</x:v>
      </x:c>
    </x:row>
    <x:row r="153">
      <x:c r="A153" s="53" t="str">
        <x:v>SG</x:v>
      </x:c>
      <x:c r="B153" s="53" t="str">
        <x:v>SGP</x:v>
      </x:c>
      <x:c r="C153" s="53" t="str">
        <x:v>Singapore</x:v>
      </x:c>
      <x:c r="D153" s="53" t="str">
        <x:v>NO</x:v>
      </x:c>
      <x:c r="E153" s="53" t="str">
        <x:v>NOR</x:v>
      </x:c>
      <x:c r="F153" s="53" t="str">
        <x:v>Norway</x:v>
      </x:c>
      <x:c r="G153" s="53" t="n">
        <x:v>2017</x:v>
      </x:c>
      <x:c r="H153" s="53" t="str">
        <x:v>Issuance</x:v>
      </x:c>
      <x:c r="I153" s="53" t="str">
        <x:v>EF+B</x:v>
      </x:c>
      <x:c r="J153" s="53" t="n">
        <x:v>2</x:v>
      </x:c>
      <x:c r="K153" s="53" t="n">
        <x:v>0</x:v>
      </x:c>
      <x:c r="L153" s="53" t="n">
        <x:v>0</x:v>
      </x:c>
      <x:c r="M153" s="54" t="n">
        <x:v>0</x:v>
      </x:c>
      <x:c r="N153" s="54" t="n">
        <x:v>214.77002357691526</x:v>
      </x:c>
      <x:c r="O153" s="54" t="n">
        <x:v>145.5077579692006</x:v>
      </x:c>
      <x:c r="P153" s="54" t="n">
        <x:v>69.26226560771465</x:v>
      </x:c>
      <x:c r="Q153" s="55" t="b">
        <x:v>0</x:v>
      </x:c>
      <x:c r="R153" s="56" t="str">
        <x:v>none</x:v>
      </x:c>
      <x:c r="S153" s="57" t="str">
        <x:v>GCAP estimated restatement; Position_Residency may include GCAP interpolation/extrapolation per documentation</x:v>
      </x:c>
      <x:c r="T153" s="57" t="str">
        <x:v>diagonal set to zero + within-sample row normalization</x:v>
      </x:c>
      <x:c r="U153" s="57" t="str">
        <x:v>GCAP Restated Bilateral External Portfolios v1.8</x:v>
      </x:c>
      <x:c r="V153" s="57" t="str">
        <x:v>IMF CPIS</x:v>
      </x:c>
      <x:c r="W153" s="58" t="str">
        <x:v>https://globalcapitalallocation.s3.us-east-2.amazonaws.com/Restated_Bilateral_External_Portfolios_ReadMe.pdf</x:v>
      </x:c>
      <x:c r="X153" s="59" t="n">
        <x:v>0.00026483735014852587</x:v>
      </x:c>
      <x:c r="Y153" s="59" t="n">
        <x:v>0</x:v>
      </x:c>
      <x:c r="Z153" s="59" t="n">
        <x:v>0.0003322776242692037</x:v>
      </x:c>
      <x:c r="AA153" s="59" t="n">
        <x:v>0.00018566957641507367</x:v>
      </x:c>
    </x:row>
    <x:row r="154">
      <x:c r="A154" s="53" t="str">
        <x:v>SG</x:v>
      </x:c>
      <x:c r="B154" s="53" t="str">
        <x:v>SGP</x:v>
      </x:c>
      <x:c r="C154" s="53" t="str">
        <x:v>Singapore</x:v>
      </x:c>
      <x:c r="D154" s="53" t="str">
        <x:v>SG</x:v>
      </x:c>
      <x:c r="E154" s="53" t="str">
        <x:v>SGP</x:v>
      </x:c>
      <x:c r="F154" s="53" t="str">
        <x:v>Singapore</x:v>
      </x:c>
      <x:c r="G154" s="53" t="n">
        <x:v>2017</x:v>
      </x:c>
      <x:c r="H154" s="53" t="str">
        <x:v>Issuance</x:v>
      </x:c>
      <x:c r="I154" s="53" t="str">
        <x:v>EF+B</x:v>
      </x:c>
      <x:c r="J154" s="53" t="n">
        <x:v>2</x:v>
      </x:c>
      <x:c r="K154" s="53" t="n">
        <x:v>0</x:v>
      </x:c>
      <x:c r="L154" s="53" t="n">
        <x:v>0</x:v>
      </x:c>
      <x:c r="M154" s="54" t="n">
        <x:v>0</x:v>
      </x:c>
      <x:c r="N154" s="54" t="n">
        <x:v>4435.798570515588</x:v>
      </x:c>
      <x:c r="O154" s="54" t="n">
        <x:v>2628.675017118454</x:v>
      </x:c>
      <x:c r="P154" s="54" t="n">
        <x:v>1807.123553397134</x:v>
      </x:c>
      <x:c r="Q154" s="55" t="b">
        <x:v>1</x:v>
      </x:c>
      <x:c r="R154" s="56" t="str">
        <x:v>none</x:v>
      </x:c>
      <x:c r="S154" s="57" t="str">
        <x:v>GCAP estimated restatement; Position_Residency may include GCAP interpolation/extrapolation per documentation</x:v>
      </x:c>
      <x:c r="T154" s="57" t="str">
        <x:v>EA issuer aggregation + diagonal set to zero + within-sample row normalization</x:v>
      </x:c>
      <x:c r="U154" s="57" t="str">
        <x:v>GCAP Restated Bilateral External Portfolios v1.8</x:v>
      </x:c>
      <x:c r="V154" s="57" t="str">
        <x:v>IMF CPIS</x:v>
      </x:c>
      <x:c r="W154" s="58" t="str">
        <x:v>https://globalcapitalallocation.s3.us-east-2.amazonaws.com/Restated_Bilateral_External_Portfolios_ReadMe.pdf</x:v>
      </x:c>
      <x:c r="X154" s="59" t="n">
        <x:v>0</x:v>
      </x:c>
      <x:c r="Y154" s="59" t="n">
        <x:v>0</x:v>
      </x:c>
      <x:c r="Z154" s="59" t="n">
        <x:v>0</x:v>
      </x:c>
      <x:c r="AA154" s="59" t="n">
        <x:v>0</x:v>
      </x:c>
    </x:row>
    <x:row r="155">
      <x:c r="A155" s="53" t="str">
        <x:v>SG</x:v>
      </x:c>
      <x:c r="B155" s="53" t="str">
        <x:v>SGP</x:v>
      </x:c>
      <x:c r="C155" s="53" t="str">
        <x:v>Singapore</x:v>
      </x:c>
      <x:c r="D155" s="53" t="str">
        <x:v>TR</x:v>
      </x:c>
      <x:c r="E155" s="53" t="str">
        <x:v>TUR</x:v>
      </x:c>
      <x:c r="F155" s="53" t="str">
        <x:v>Turkey</x:v>
      </x:c>
      <x:c r="G155" s="53" t="n">
        <x:v>2017</x:v>
      </x:c>
      <x:c r="H155" s="53" t="str">
        <x:v>Issuance</x:v>
      </x:c>
      <x:c r="I155" s="53" t="str">
        <x:v>EF+B</x:v>
      </x:c>
      <x:c r="J155" s="53" t="n">
        <x:v>2</x:v>
      </x:c>
      <x:c r="K155" s="53" t="n">
        <x:v>0</x:v>
      </x:c>
      <x:c r="L155" s="53" t="n">
        <x:v>0</x:v>
      </x:c>
      <x:c r="M155" s="54" t="n">
        <x:v>0</x:v>
      </x:c>
      <x:c r="N155" s="54" t="n">
        <x:v>15.058413043618202</x:v>
      </x:c>
      <x:c r="O155" s="54" t="n">
        <x:v>8.350866973400116</x:v>
      </x:c>
      <x:c r="P155" s="54" t="n">
        <x:v>6.707546070218086</x:v>
      </x:c>
      <x:c r="Q155" s="55" t="b">
        <x:v>0</x:v>
      </x:c>
      <x:c r="R155" s="56" t="str">
        <x:v>none</x:v>
      </x:c>
      <x:c r="S155" s="57" t="str">
        <x:v>GCAP estimated restatement; Position_Residency may include GCAP interpolation/extrapolation per documentation</x:v>
      </x:c>
      <x:c r="T155" s="57" t="str">
        <x:v>diagonal set to zero + within-sample row normalization</x:v>
      </x:c>
      <x:c r="U155" s="57" t="str">
        <x:v>GCAP Restated Bilateral External Portfolios v1.8</x:v>
      </x:c>
      <x:c r="V155" s="57" t="str">
        <x:v>IMF CPIS</x:v>
      </x:c>
      <x:c r="W155" s="58" t="str">
        <x:v>https://globalcapitalallocation.s3.us-east-2.amazonaws.com/Restated_Bilateral_External_Portfolios_ReadMe.pdf</x:v>
      </x:c>
      <x:c r="X155" s="59" t="n">
        <x:v>0.000018568840015448502</x:v>
      </x:c>
      <x:c r="Y155" s="59" t="n">
        <x:v>0</x:v>
      </x:c>
      <x:c r="Z155" s="59" t="n">
        <x:v>0.00001906981646364783</x:v>
      </x:c>
      <x:c r="AA155" s="59" t="n">
        <x:v>0.00001798074646728375</x:v>
      </x:c>
    </x:row>
    <x:row r="156">
      <x:c r="A156" s="53" t="str">
        <x:v>SG</x:v>
      </x:c>
      <x:c r="B156" s="53" t="str">
        <x:v>SGP</x:v>
      </x:c>
      <x:c r="C156" s="53" t="str">
        <x:v>Singapore</x:v>
      </x:c>
      <x:c r="D156" s="53" t="str">
        <x:v>US</x:v>
      </x:c>
      <x:c r="E156" s="53" t="str">
        <x:v>USA</x:v>
      </x:c>
      <x:c r="F156" s="53" t="str">
        <x:v>United States</x:v>
      </x:c>
      <x:c r="G156" s="53" t="n">
        <x:v>2017</x:v>
      </x:c>
      <x:c r="H156" s="53" t="str">
        <x:v>Issuance</x:v>
      </x:c>
      <x:c r="I156" s="53" t="str">
        <x:v>EF+B</x:v>
      </x:c>
      <x:c r="J156" s="53" t="n">
        <x:v>2</x:v>
      </x:c>
      <x:c r="K156" s="53" t="n">
        <x:v>0</x:v>
      </x:c>
      <x:c r="L156" s="53" t="n">
        <x:v>0</x:v>
      </x:c>
      <x:c r="M156" s="54" t="n">
        <x:v>343903.044291485</x:v>
      </x:c>
      <x:c r="N156" s="54" t="n">
        <x:v>349410.016256568</x:v>
      </x:c>
      <x:c r="O156" s="54" t="n">
        <x:v>157853.88044213038</x:v>
      </x:c>
      <x:c r="P156" s="54" t="n">
        <x:v>191556.13581443764</x:v>
      </x:c>
      <x:c r="Q156" s="55" t="b">
        <x:v>0</x:v>
      </x:c>
      <x:c r="R156" s="56" t="str">
        <x:v>none</x:v>
      </x:c>
      <x:c r="S156" s="57" t="str">
        <x:v>GCAP estimated restatement; Position_Residency may include GCAP interpolation/extrapolation per documentation</x:v>
      </x:c>
      <x:c r="T156" s="57" t="str">
        <x:v>diagonal set to zero + within-sample row normalization</x:v>
      </x:c>
      <x:c r="U156" s="57" t="str">
        <x:v>GCAP Restated Bilateral External Portfolios v1.8</x:v>
      </x:c>
      <x:c r="V156" s="57" t="str">
        <x:v>IMF CPIS</x:v>
      </x:c>
      <x:c r="W156" s="58" t="str">
        <x:v>https://globalcapitalallocation.s3.us-east-2.amazonaws.com/Restated_Bilateral_External_Portfolios_ReadMe.pdf</x:v>
      </x:c>
      <x:c r="X156" s="59" t="n">
        <x:v>0.4308647048576718</x:v>
      </x:c>
      <x:c r="Y156" s="59" t="n">
        <x:v>0.4629711213516773</x:v>
      </x:c>
      <x:c r="Z156" s="59" t="n">
        <x:v>0.360470899332311</x:v>
      </x:c>
      <x:c r="AA156" s="59" t="n">
        <x:v>0.5134996131632964</x:v>
      </x:c>
    </x:row>
    <x:row r="157">
      <x:c r="A157" s="53" t="str">
        <x:v>SG</x:v>
      </x:c>
      <x:c r="B157" s="53" t="str">
        <x:v>SGP</x:v>
      </x:c>
      <x:c r="C157" s="53" t="str">
        <x:v>Singapore</x:v>
      </x:c>
      <x:c r="D157" s="53" t="str">
        <x:v>ZA</x:v>
      </x:c>
      <x:c r="E157" s="53" t="str">
        <x:v>ZAF</x:v>
      </x:c>
      <x:c r="F157" s="53" t="str">
        <x:v>South Africa</x:v>
      </x:c>
      <x:c r="G157" s="53" t="n">
        <x:v>2017</x:v>
      </x:c>
      <x:c r="H157" s="53" t="str">
        <x:v>Issuance</x:v>
      </x:c>
      <x:c r="I157" s="53" t="str">
        <x:v>EF+B</x:v>
      </x:c>
      <x:c r="J157" s="53" t="n">
        <x:v>2</x:v>
      </x:c>
      <x:c r="K157" s="53" t="n">
        <x:v>0</x:v>
      </x:c>
      <x:c r="L157" s="53" t="n">
        <x:v>0</x:v>
      </x:c>
      <x:c r="M157" s="54" t="n">
        <x:v>0</x:v>
      </x:c>
      <x:c r="N157" s="54" t="n">
        <x:v>317.37612717598677</x:v>
      </x:c>
      <x:c r="O157" s="54" t="n">
        <x:v>65.4015955477953</x:v>
      </x:c>
      <x:c r="P157" s="54" t="n">
        <x:v>251.97453162819147</x:v>
      </x:c>
      <x:c r="Q157" s="55" t="b">
        <x:v>0</x:v>
      </x:c>
      <x:c r="R157" s="56" t="str">
        <x:v>none</x:v>
      </x:c>
      <x:c r="S157" s="57" t="str">
        <x:v>GCAP estimated restatement; Position_Residency may include GCAP interpolation/extrapolation per documentation</x:v>
      </x:c>
      <x:c r="T157" s="57" t="str">
        <x:v>diagonal set to zero + within-sample row normalization</x:v>
      </x:c>
      <x:c r="U157" s="57" t="str">
        <x:v>GCAP Restated Bilateral External Portfolios v1.8</x:v>
      </x:c>
      <x:c r="V157" s="57" t="str">
        <x:v>IMF CPIS</x:v>
      </x:c>
      <x:c r="W157" s="58" t="str">
        <x:v>https://globalcapitalallocation.s3.us-east-2.amazonaws.com/Restated_Bilateral_External_Portfolios_ReadMe.pdf</x:v>
      </x:c>
      <x:c r="X157" s="59" t="n">
        <x:v>0.00039136305487058853</x:v>
      </x:c>
      <x:c r="Y157" s="59" t="n">
        <x:v>0</x:v>
      </x:c>
      <x:c r="Z157" s="59" t="n">
        <x:v>0.00014934933432646675</x:v>
      </x:c>
      <x:c r="AA157" s="59" t="n">
        <x:v>0.0006754616549762695</x:v>
      </x:c>
    </x:row>
    <x:row r="158">
      <x:c r="A158" s="53" t="str">
        <x:v>TR</x:v>
      </x:c>
      <x:c r="B158" s="53" t="str">
        <x:v>TUR</x:v>
      </x:c>
      <x:c r="C158" s="53" t="str">
        <x:v>Turkey</x:v>
      </x:c>
      <x:c r="D158" s="53" t="str">
        <x:v>AU</x:v>
      </x:c>
      <x:c r="E158" s="53" t="str">
        <x:v>AUS</x:v>
      </x:c>
      <x:c r="F158" s="53" t="str">
        <x:v>Australia</x:v>
      </x:c>
      <x:c r="G158" s="53" t="n">
        <x:v>2017</x:v>
      </x:c>
      <x:c r="H158" s="53" t="str">
        <x:v>Issuance</x:v>
      </x:c>
      <x:c r="I158" s="53" t="str">
        <x:v>EF+B</x:v>
      </x:c>
      <x:c r="J158" s="53" t="n">
        <x:v>2</x:v>
      </x:c>
      <x:c r="K158" s="53" t="n">
        <x:v>0</x:v>
      </x:c>
      <x:c r="L158" s="53" t="n">
        <x:v>0</x:v>
      </x:c>
      <x:c r="M158" s="54" t="n">
        <x:v>0.762106</x:v>
      </x:c>
      <x:c r="N158" s="54" t="n">
        <x:v>1.9979883154725844</x:v>
      </x:c>
      <x:c r="O158" s="54" t="n">
        <x:v>1.0444567901981578</x:v>
      </x:c>
      <x:c r="P158" s="54" t="n">
        <x:v>0.9535315252744266</x:v>
      </x:c>
      <x:c r="Q158" s="55" t="b">
        <x:v>0</x:v>
      </x:c>
      <x:c r="R158" s="56" t="str">
        <x:v>none</x:v>
      </x:c>
      <x:c r="S158" s="57" t="str">
        <x:v>GCAP estimated restatement; Position_Residency may include GCAP interpolation/extrapolation per documentation</x:v>
      </x:c>
      <x:c r="T158" s="57" t="str">
        <x:v>diagonal set to zero + within-sample row normalization</x:v>
      </x:c>
      <x:c r="U158" s="57" t="str">
        <x:v>GCAP Restated Bilateral External Portfolios v1.8</x:v>
      </x:c>
      <x:c r="V158" s="57" t="str">
        <x:v>IMF CPIS</x:v>
      </x:c>
      <x:c r="W158" s="58" t="str">
        <x:v>https://globalcapitalallocation.s3.us-east-2.amazonaws.com/Restated_Bilateral_External_Portfolios_ReadMe.pdf</x:v>
      </x:c>
      <x:c r="X158" s="59" t="n">
        <x:v>0.0027015997160462816</x:v>
      </x:c>
      <x:c r="Y158" s="59" t="n">
        <x:v>0.0013440888447739136</x:v>
      </x:c>
      <x:c r="Z158" s="59" t="n">
        <x:v>0.00241301713490461</x:v>
      </x:c>
      <x:c r="AA158" s="59" t="n">
        <x:v>0.003108853778505795</x:v>
      </x:c>
    </x:row>
    <x:row r="159">
      <x:c r="A159" s="53" t="str">
        <x:v>TR</x:v>
      </x:c>
      <x:c r="B159" s="53" t="str">
        <x:v>TUR</x:v>
      </x:c>
      <x:c r="C159" s="53" t="str">
        <x:v>Turkey</x:v>
      </x:c>
      <x:c r="D159" s="53" t="str">
        <x:v>BR</x:v>
      </x:c>
      <x:c r="E159" s="53" t="str">
        <x:v>BRA</x:v>
      </x:c>
      <x:c r="F159" s="53" t="str">
        <x:v>Brazil</x:v>
      </x:c>
      <x:c r="G159" s="53" t="n">
        <x:v>2017</x:v>
      </x:c>
      <x:c r="H159" s="53" t="str">
        <x:v>Issuance</x:v>
      </x:c>
      <x:c r="I159" s="53" t="str">
        <x:v>EF+B</x:v>
      </x:c>
      <x:c r="J159" s="53" t="n">
        <x:v>2</x:v>
      </x:c>
      <x:c r="K159" s="53" t="n">
        <x:v>0</x:v>
      </x:c>
      <x:c r="L159" s="53" t="n">
        <x:v>0</x:v>
      </x:c>
      <x:c r="M159" s="54" t="n">
        <x:v>8.421216</x:v>
      </x:c>
      <x:c r="N159" s="54" t="n">
        <x:v>19.356040784102802</x:v>
      </x:c>
      <x:c r="O159" s="54" t="n">
        <x:v>0.09625416899234818</x:v>
      </x:c>
      <x:c r="P159" s="54" t="n">
        <x:v>19.259786615110453</x:v>
      </x:c>
      <x:c r="Q159" s="55" t="b">
        <x:v>0</x:v>
      </x:c>
      <x:c r="R159" s="56" t="str">
        <x:v>none</x:v>
      </x:c>
      <x:c r="S159" s="57" t="str">
        <x:v>GCAP estimated restatement; Position_Residency may include GCAP interpolation/extrapolation per documentation</x:v>
      </x:c>
      <x:c r="T159" s="57" t="str">
        <x:v>diagonal set to zero + within-sample row normalization</x:v>
      </x:c>
      <x:c r="U159" s="57" t="str">
        <x:v>GCAP Restated Bilateral External Portfolios v1.8</x:v>
      </x:c>
      <x:c r="V159" s="57" t="str">
        <x:v>IMF CPIS</x:v>
      </x:c>
      <x:c r="W159" s="58" t="str">
        <x:v>https://globalcapitalallocation.s3.us-east-2.amazonaws.com/Restated_Bilateral_External_Portfolios_ReadMe.pdf</x:v>
      </x:c>
      <x:c r="X159" s="59" t="n">
        <x:v>0.026172462511996064</x:v>
      </x:c>
      <x:c r="Y159" s="59" t="n">
        <x:v>0.014852084204863364</x:v>
      </x:c>
      <x:c r="Z159" s="59" t="n">
        <x:v>0.00022237680032744528</x:v>
      </x:c>
      <x:c r="AA159" s="59" t="n">
        <x:v>0.06279379213431793</x:v>
      </x:c>
    </x:row>
    <x:row r="160">
      <x:c r="A160" s="53" t="str">
        <x:v>TR</x:v>
      </x:c>
      <x:c r="B160" s="53" t="str">
        <x:v>TUR</x:v>
      </x:c>
      <x:c r="C160" s="53" t="str">
        <x:v>Turkey</x:v>
      </x:c>
      <x:c r="D160" s="53" t="str">
        <x:v>CA</x:v>
      </x:c>
      <x:c r="E160" s="53" t="str">
        <x:v>CAN</x:v>
      </x:c>
      <x:c r="F160" s="53" t="str">
        <x:v>Canada</x:v>
      </x:c>
      <x:c r="G160" s="53" t="n">
        <x:v>2017</x:v>
      </x:c>
      <x:c r="H160" s="53" t="str">
        <x:v>Issuance</x:v>
      </x:c>
      <x:c r="I160" s="53" t="str">
        <x:v>EF+B</x:v>
      </x:c>
      <x:c r="J160" s="53" t="n">
        <x:v>2</x:v>
      </x:c>
      <x:c r="K160" s="53" t="n">
        <x:v>0</x:v>
      </x:c>
      <x:c r="L160" s="53" t="n">
        <x:v>0</x:v>
      </x:c>
      <x:c r="M160" s="54" t="n">
        <x:v>9.290539</x:v>
      </x:c>
      <x:c r="N160" s="54" t="n">
        <x:v>13.224772910815375</x:v>
      </x:c>
      <x:c r="O160" s="54" t="n">
        <x:v>9.18724607461158</x:v>
      </x:c>
      <x:c r="P160" s="54" t="n">
        <x:v>4.037526836203796</x:v>
      </x:c>
      <x:c r="Q160" s="55" t="b">
        <x:v>0</x:v>
      </x:c>
      <x:c r="R160" s="56" t="str">
        <x:v>none</x:v>
      </x:c>
      <x:c r="S160" s="57" t="str">
        <x:v>GCAP estimated restatement; Position_Residency may include GCAP interpolation/extrapolation per documentation</x:v>
      </x:c>
      <x:c r="T160" s="57" t="str">
        <x:v>diagonal set to zero + within-sample row normalization</x:v>
      </x:c>
      <x:c r="U160" s="57" t="str">
        <x:v>GCAP Restated Bilateral External Portfolios v1.8</x:v>
      </x:c>
      <x:c r="V160" s="57" t="str">
        <x:v>IMF CPIS</x:v>
      </x:c>
      <x:c r="W160" s="58" t="str">
        <x:v>https://globalcapitalallocation.s3.us-east-2.amazonaws.com/Restated_Bilateral_External_Portfolios_ReadMe.pdf</x:v>
      </x:c>
      <x:c r="X160" s="59" t="n">
        <x:v>0.017882007849572744</x:v>
      </x:c>
      <x:c r="Y160" s="59" t="n">
        <x:v>0.016385266395799264</x:v>
      </x:c>
      <x:c r="Z160" s="59" t="n">
        <x:v>0.021225370363494776</x:v>
      </x:c>
      <x:c r="AA160" s="59" t="n">
        <x:v>0.01316378140401622</x:v>
      </x:c>
    </x:row>
    <x:row r="161">
      <x:c r="A161" s="53" t="str">
        <x:v>TR</x:v>
      </x:c>
      <x:c r="B161" s="53" t="str">
        <x:v>TUR</x:v>
      </x:c>
      <x:c r="C161" s="53" t="str">
        <x:v>Turkey</x:v>
      </x:c>
      <x:c r="D161" s="53" t="str">
        <x:v>CH</x:v>
      </x:c>
      <x:c r="E161" s="53" t="str">
        <x:v>CHE</x:v>
      </x:c>
      <x:c r="F161" s="53" t="str">
        <x:v>Switzerland</x:v>
      </x:c>
      <x:c r="G161" s="53" t="n">
        <x:v>2017</x:v>
      </x:c>
      <x:c r="H161" s="53" t="str">
        <x:v>Issuance</x:v>
      </x:c>
      <x:c r="I161" s="53" t="str">
        <x:v>EF+B</x:v>
      </x:c>
      <x:c r="J161" s="53" t="n">
        <x:v>2</x:v>
      </x:c>
      <x:c r="K161" s="53" t="n">
        <x:v>0</x:v>
      </x:c>
      <x:c r="L161" s="53" t="n">
        <x:v>0</x:v>
      </x:c>
      <x:c r="M161" s="54" t="n">
        <x:v>6.699714</x:v>
      </x:c>
      <x:c r="N161" s="54" t="n">
        <x:v>13.861130287876172</x:v>
      </x:c>
      <x:c r="O161" s="54" t="n">
        <x:v>6.147326842138698</x:v>
      </x:c>
      <x:c r="P161" s="54" t="n">
        <x:v>7.713803445737475</x:v>
      </x:c>
      <x:c r="Q161" s="55" t="b">
        <x:v>0</x:v>
      </x:c>
      <x:c r="R161" s="56" t="str">
        <x:v>none</x:v>
      </x:c>
      <x:c r="S161" s="57" t="str">
        <x:v>GCAP estimated restatement; Position_Residency may include GCAP interpolation/extrapolation per documentation</x:v>
      </x:c>
      <x:c r="T161" s="57" t="str">
        <x:v>diagonal set to zero + within-sample row normalization</x:v>
      </x:c>
      <x:c r="U161" s="57" t="str">
        <x:v>GCAP Restated Bilateral External Portfolios v1.8</x:v>
      </x:c>
      <x:c r="V161" s="57" t="str">
        <x:v>IMF CPIS</x:v>
      </x:c>
      <x:c r="W161" s="58" t="str">
        <x:v>https://globalcapitalallocation.s3.us-east-2.amazonaws.com/Restated_Bilateral_External_Portfolios_ReadMe.pdf</x:v>
      </x:c>
      <x:c r="X161" s="59" t="n">
        <x:v>0.018742464788113332</x:v>
      </x:c>
      <x:c r="Y161" s="59" t="n">
        <x:v>0.011815955852041078</x:v>
      </x:c>
      <x:c r="Z161" s="59" t="n">
        <x:v>0.014202219893774107</x:v>
      </x:c>
      <x:c r="AA161" s="59" t="n">
        <x:v>0.025149757877203072</x:v>
      </x:c>
    </x:row>
    <x:row r="162">
      <x:c r="A162" s="53" t="str">
        <x:v>TR</x:v>
      </x:c>
      <x:c r="B162" s="53" t="str">
        <x:v>TUR</x:v>
      </x:c>
      <x:c r="C162" s="53" t="str">
        <x:v>Turkey</x:v>
      </x:c>
      <x:c r="D162" s="53" t="str">
        <x:v>CN</x:v>
      </x:c>
      <x:c r="E162" s="53" t="str">
        <x:v>CHN</x:v>
      </x:c>
      <x:c r="F162" s="53" t="str">
        <x:v>China</x:v>
      </x:c>
      <x:c r="G162" s="53" t="n">
        <x:v>2017</x:v>
      </x:c>
      <x:c r="H162" s="53" t="str">
        <x:v>Issuance</x:v>
      </x:c>
      <x:c r="I162" s="53" t="str">
        <x:v>EF+B</x:v>
      </x:c>
      <x:c r="J162" s="53" t="n">
        <x:v>2</x:v>
      </x:c>
      <x:c r="K162" s="53" t="n">
        <x:v>0</x:v>
      </x:c>
      <x:c r="L162" s="53" t="n">
        <x:v>0</x:v>
      </x:c>
      <x:c r="M162" s="54" t="n">
        <x:v>0.957207</x:v>
      </x:c>
      <x:c r="N162" s="54" t="n">
        <x:v>38.43137707919201</x:v>
      </x:c>
      <x:c r="O162" s="54" t="n">
        <x:v>14.017010008104762</x:v>
      </x:c>
      <x:c r="P162" s="54" t="n">
        <x:v>24.41436707108725</x:v>
      </x:c>
      <x:c r="Q162" s="55" t="b">
        <x:v>0</x:v>
      </x:c>
      <x:c r="R162" s="56" t="str">
        <x:v>none</x:v>
      </x:c>
      <x:c r="S162" s="57" t="str">
        <x:v>GCAP estimated restatement; Position_Residency may include GCAP interpolation/extrapolation per documentation</x:v>
      </x:c>
      <x:c r="T162" s="57" t="str">
        <x:v>diagonal set to zero + within-sample row normalization</x:v>
      </x:c>
      <x:c r="U162" s="57" t="str">
        <x:v>GCAP Restated Bilateral External Portfolios v1.8</x:v>
      </x:c>
      <x:c r="V162" s="57" t="str">
        <x:v>IMF CPIS</x:v>
      </x:c>
      <x:c r="W162" s="58" t="str">
        <x:v>https://globalcapitalallocation.s3.us-east-2.amazonaws.com/Restated_Bilateral_External_Portfolios_ReadMe.pdf</x:v>
      </x:c>
      <x:c r="X162" s="59" t="n">
        <x:v>0.051965367665253184</x:v>
      </x:c>
      <x:c r="Y162" s="59" t="n">
        <x:v>0.001688178876481098</x:v>
      </x:c>
      <x:c r="Z162" s="59" t="n">
        <x:v>0.03238361380490344</x:v>
      </x:c>
      <x:c r="AA162" s="59" t="n">
        <x:v>0.07959956782439134</x:v>
      </x:c>
    </x:row>
    <x:row r="163">
      <x:c r="A163" s="53" t="str">
        <x:v>TR</x:v>
      </x:c>
      <x:c r="B163" s="53" t="str">
        <x:v>TUR</x:v>
      </x:c>
      <x:c r="C163" s="53" t="str">
        <x:v>Turkey</x:v>
      </x:c>
      <x:c r="D163" s="53" t="str">
        <x:v>EA</x:v>
      </x:c>
      <x:c r="E163" s="53" t="str">
        <x:v>EMU</x:v>
      </x:c>
      <x:c r="F163" s="53" t="str">
        <x:v>European Monetary Union</x:v>
      </x:c>
      <x:c r="G163" s="53" t="n">
        <x:v>2017</x:v>
      </x:c>
      <x:c r="H163" s="53" t="str">
        <x:v>Issuance</x:v>
      </x:c>
      <x:c r="I163" s="53" t="str">
        <x:v>EF+B</x:v>
      </x:c>
      <x:c r="J163" s="53" t="n">
        <x:v>38</x:v>
      </x:c>
      <x:c r="K163" s="53" t="n">
        <x:v>0</x:v>
      </x:c>
      <x:c r="L163" s="53" t="n">
        <x:v>0</x:v>
      </x:c>
      <x:c r="M163" s="54" t="n">
        <x:v>126.1310269978977</x:v>
      </x:c>
      <x:c r="N163" s="54" t="n">
        <x:v>130.99067091969528</x:v>
      </x:c>
      <x:c r="O163" s="54" t="n">
        <x:v>47.23879904121763</x:v>
      </x:c>
      <x:c r="P163" s="54" t="n">
        <x:v>83.75187187847764</x:v>
      </x:c>
      <x:c r="Q163" s="55" t="b">
        <x:v>0</x:v>
      </x:c>
      <x:c r="R163" s="56" t="str">
        <x:v>none</x:v>
      </x:c>
      <x:c r="S163" s="57" t="str">
        <x:v>GCAP estimated restatement; Position_Residency may include GCAP interpolation/extrapolation per documentation</x:v>
      </x:c>
      <x:c r="T163" s="57" t="str">
        <x:v>EA issuer aggregation + diagonal set to zero + within-sample row normalization</x:v>
      </x:c>
      <x:c r="U163" s="57" t="str">
        <x:v>GCAP Restated Bilateral External Portfolios v1.8</x:v>
      </x:c>
      <x:c r="V163" s="57" t="str">
        <x:v>IMF CPIS</x:v>
      </x:c>
      <x:c r="W163" s="58" t="str">
        <x:v>https://globalcapitalallocation.s3.us-east-2.amazonaws.com/Restated_Bilateral_External_Portfolios_ReadMe.pdf</x:v>
      </x:c>
      <x:c r="X163" s="59" t="n">
        <x:v>0.17712033479918343</x:v>
      </x:c>
      <x:c r="Y163" s="59" t="n">
        <x:v>0.22245108471492372</x:v>
      </x:c>
      <x:c r="Z163" s="59" t="n">
        <x:v>0.10913618695240368</x:v>
      </x:c>
      <x:c r="AA163" s="59" t="n">
        <x:v>0.2730610540342683</x:v>
      </x:c>
    </x:row>
    <x:row r="164">
      <x:c r="A164" s="53" t="str">
        <x:v>TR</x:v>
      </x:c>
      <x:c r="B164" s="53" t="str">
        <x:v>TUR</x:v>
      </x:c>
      <x:c r="C164" s="53" t="str">
        <x:v>Turkey</x:v>
      </x:c>
      <x:c r="D164" s="53" t="str">
        <x:v>UK</x:v>
      </x:c>
      <x:c r="E164" s="53" t="str">
        <x:v>GBR</x:v>
      </x:c>
      <x:c r="F164" s="53" t="str">
        <x:v>United Kingdom</x:v>
      </x:c>
      <x:c r="G164" s="53" t="n">
        <x:v>2017</x:v>
      </x:c>
      <x:c r="H164" s="53" t="str">
        <x:v>Issuance</x:v>
      </x:c>
      <x:c r="I164" s="53" t="str">
        <x:v>EF+B</x:v>
      </x:c>
      <x:c r="J164" s="53" t="n">
        <x:v>2</x:v>
      </x:c>
      <x:c r="K164" s="53" t="n">
        <x:v>0</x:v>
      </x:c>
      <x:c r="L164" s="53" t="n">
        <x:v>0</x:v>
      </x:c>
      <x:c r="M164" s="54" t="n">
        <x:v>24.244683000000002</x:v>
      </x:c>
      <x:c r="N164" s="54" t="n">
        <x:v>41.89593660644191</x:v>
      </x:c>
      <x:c r="O164" s="54" t="n">
        <x:v>13.841256773935413</x:v>
      </x:c>
      <x:c r="P164" s="54" t="n">
        <x:v>28.054679832506494</x:v>
      </x:c>
      <x:c r="Q164" s="55" t="b">
        <x:v>0</x:v>
      </x:c>
      <x:c r="R164" s="56" t="str">
        <x:v>none</x:v>
      </x:c>
      <x:c r="S164" s="57" t="str">
        <x:v>GCAP estimated restatement; Position_Residency may include GCAP interpolation/extrapolation per documentation</x:v>
      </x:c>
      <x:c r="T164" s="57" t="str">
        <x:v>diagonal set to zero + within-sample row normalization</x:v>
      </x:c>
      <x:c r="U164" s="57" t="str">
        <x:v>GCAP Restated Bilateral External Portfolios v1.8</x:v>
      </x:c>
      <x:c r="V164" s="57" t="str">
        <x:v>IMF CPIS</x:v>
      </x:c>
      <x:c r="W164" s="58" t="str">
        <x:v>https://globalcapitalallocation.s3.us-east-2.amazonaws.com/Restated_Bilateral_External_Portfolios_ReadMe.pdf</x:v>
      </x:c>
      <x:c r="X164" s="59" t="n">
        <x:v>0.05665000619019364</x:v>
      </x:c>
      <x:c r="Y164" s="59" t="n">
        <x:v>0.042759154192959704</x:v>
      </x:c>
      <x:c r="Z164" s="59" t="n">
        <x:v>0.03197756965875444</x:v>
      </x:c>
      <x:c r="AA164" s="59" t="n">
        <x:v>0.09146828929117662</x:v>
      </x:c>
    </x:row>
    <x:row r="165">
      <x:c r="A165" s="53" t="str">
        <x:v>TR</x:v>
      </x:c>
      <x:c r="B165" s="53" t="str">
        <x:v>TUR</x:v>
      </x:c>
      <x:c r="C165" s="53" t="str">
        <x:v>Turkey</x:v>
      </x:c>
      <x:c r="D165" s="53" t="str">
        <x:v>JP</x:v>
      </x:c>
      <x:c r="E165" s="53" t="str">
        <x:v>JPN</x:v>
      </x:c>
      <x:c r="F165" s="53" t="str">
        <x:v>Japan</x:v>
      </x:c>
      <x:c r="G165" s="53" t="n">
        <x:v>2017</x:v>
      </x:c>
      <x:c r="H165" s="53" t="str">
        <x:v>Issuance</x:v>
      </x:c>
      <x:c r="I165" s="53" t="str">
        <x:v>EF+B</x:v>
      </x:c>
      <x:c r="J165" s="53" t="n">
        <x:v>2</x:v>
      </x:c>
      <x:c r="K165" s="53" t="n">
        <x:v>0</x:v>
      </x:c>
      <x:c r="L165" s="53" t="n">
        <x:v>0</x:v>
      </x:c>
      <x:c r="M165" s="54" t="n">
        <x:v>1.765394</x:v>
      </x:c>
      <x:c r="N165" s="54" t="n">
        <x:v>6.320307969075582</x:v>
      </x:c>
      <x:c r="O165" s="54" t="n">
        <x:v>2.2505179055915505</x:v>
      </x:c>
      <x:c r="P165" s="54" t="n">
        <x:v>4.069790063484032</x:v>
      </x:c>
      <x:c r="Q165" s="55" t="b">
        <x:v>0</x:v>
      </x:c>
      <x:c r="R165" s="56" t="str">
        <x:v>none</x:v>
      </x:c>
      <x:c r="S165" s="57" t="str">
        <x:v>GCAP estimated restatement; Position_Residency may include GCAP interpolation/extrapolation per documentation</x:v>
      </x:c>
      <x:c r="T165" s="57" t="str">
        <x:v>diagonal set to zero + within-sample row normalization</x:v>
      </x:c>
      <x:c r="U165" s="57" t="str">
        <x:v>GCAP Restated Bilateral External Portfolios v1.8</x:v>
      </x:c>
      <x:c r="V165" s="57" t="str">
        <x:v>IMF CPIS</x:v>
      </x:c>
      <x:c r="W165" s="58" t="str">
        <x:v>https://globalcapitalallocation.s3.us-east-2.amazonaws.com/Restated_Bilateral_External_Portfolios_ReadMe.pdf</x:v>
      </x:c>
      <x:c r="X165" s="59" t="n">
        <x:v>0.00854606710277027</x:v>
      </x:c>
      <x:c r="Y165" s="59" t="n">
        <x:v>0.0031135385130556625</x:v>
      </x:c>
      <x:c r="Z165" s="59" t="n">
        <x:v>0.005199390074884522</x:v>
      </x:c>
      <x:c r="AA165" s="59" t="n">
        <x:v>0.013268971063066124</x:v>
      </x:c>
    </x:row>
    <x:row r="166">
      <x:c r="A166" s="53" t="str">
        <x:v>TR</x:v>
      </x:c>
      <x:c r="B166" s="53" t="str">
        <x:v>TUR</x:v>
      </x:c>
      <x:c r="C166" s="53" t="str">
        <x:v>Turkey</x:v>
      </x:c>
      <x:c r="D166" s="53" t="str">
        <x:v>KR</x:v>
      </x:c>
      <x:c r="E166" s="53" t="str">
        <x:v>KOR</x:v>
      </x:c>
      <x:c r="F166" s="53" t="str">
        <x:v>Korea, Republic of</x:v>
      </x:c>
      <x:c r="G166" s="53" t="n">
        <x:v>2017</x:v>
      </x:c>
      <x:c r="H166" s="53" t="str">
        <x:v>Issuance</x:v>
      </x:c>
      <x:c r="I166" s="53" t="str">
        <x:v>EF+B</x:v>
      </x:c>
      <x:c r="J166" s="53" t="n">
        <x:v>2</x:v>
      </x:c>
      <x:c r="K166" s="53" t="n">
        <x:v>0</x:v>
      </x:c>
      <x:c r="L166" s="53" t="n">
        <x:v>0</x:v>
      </x:c>
      <x:c r="M166" s="54" t="n">
        <x:v>0</x:v>
      </x:c>
      <x:c r="N166" s="54" t="n">
        <x:v>0.6474955694738277</x:v>
      </x:c>
      <x:c r="O166" s="54" t="n">
        <x:v>0.034428394962850106</x:v>
      </x:c>
      <x:c r="P166" s="54" t="n">
        <x:v>0.6130671745109776</x:v>
      </x:c>
      <x:c r="Q166" s="55" t="b">
        <x:v>0</x:v>
      </x:c>
      <x:c r="R166" s="56" t="str">
        <x:v>none</x:v>
      </x:c>
      <x:c r="S166" s="57" t="str">
        <x:v>GCAP estimated restatement; Position_Residency may include GCAP interpolation/extrapolation per documentation</x:v>
      </x:c>
      <x:c r="T166" s="57" t="str">
        <x:v>diagonal set to zero + within-sample row normalization</x:v>
      </x:c>
      <x:c r="U166" s="57" t="str">
        <x:v>GCAP Restated Bilateral External Portfolios v1.8</x:v>
      </x:c>
      <x:c r="V166" s="57" t="str">
        <x:v>IMF CPIS</x:v>
      </x:c>
      <x:c r="W166" s="58" t="str">
        <x:v>https://globalcapitalallocation.s3.us-east-2.amazonaws.com/Restated_Bilateral_External_Portfolios_ReadMe.pdf</x:v>
      </x:c>
      <x:c r="X166" s="59" t="n">
        <x:v>0.0008755175558761776</x:v>
      </x:c>
      <x:c r="Y166" s="59" t="n">
        <x:v>0</x:v>
      </x:c>
      <x:c r="Z166" s="59" t="n">
        <x:v>0.00007954020477655123</x:v>
      </x:c>
      <x:c r="AA166" s="59" t="n">
        <x:v>0.001998818236667944</x:v>
      </x:c>
    </x:row>
    <x:row r="167">
      <x:c r="A167" s="53" t="str">
        <x:v>TR</x:v>
      </x:c>
      <x:c r="B167" s="53" t="str">
        <x:v>TUR</x:v>
      </x:c>
      <x:c r="C167" s="53" t="str">
        <x:v>Turkey</x:v>
      </x:c>
      <x:c r="D167" s="53" t="str">
        <x:v>NO</x:v>
      </x:c>
      <x:c r="E167" s="53" t="str">
        <x:v>NOR</x:v>
      </x:c>
      <x:c r="F167" s="53" t="str">
        <x:v>Norway</x:v>
      </x:c>
      <x:c r="G167" s="53" t="n">
        <x:v>2017</x:v>
      </x:c>
      <x:c r="H167" s="53" t="str">
        <x:v>Issuance</x:v>
      </x:c>
      <x:c r="I167" s="53" t="str">
        <x:v>EF+B</x:v>
      </x:c>
      <x:c r="J167" s="53" t="n">
        <x:v>2</x:v>
      </x:c>
      <x:c r="K167" s="53" t="n">
        <x:v>0</x:v>
      </x:c>
      <x:c r="L167" s="53" t="n">
        <x:v>0</x:v>
      </x:c>
      <x:c r="M167" s="54" t="n">
        <x:v>0.09447</x:v>
      </x:c>
      <x:c r="N167" s="54" t="n">
        <x:v>0.20267304218979146</x:v>
      </x:c>
      <x:c r="O167" s="54" t="n">
        <x:v>0.09789535492291179</x:v>
      </x:c>
      <x:c r="P167" s="54" t="n">
        <x:v>0.10477768726687967</x:v>
      </x:c>
      <x:c r="Q167" s="55" t="b">
        <x:v>0</x:v>
      </x:c>
      <x:c r="R167" s="56" t="str">
        <x:v>none</x:v>
      </x:c>
      <x:c r="S167" s="57" t="str">
        <x:v>GCAP estimated restatement; Position_Residency may include GCAP interpolation/extrapolation per documentation</x:v>
      </x:c>
      <x:c r="T167" s="57" t="str">
        <x:v>diagonal set to zero + within-sample row normalization</x:v>
      </x:c>
      <x:c r="U167" s="57" t="str">
        <x:v>GCAP Restated Bilateral External Portfolios v1.8</x:v>
      </x:c>
      <x:c r="V167" s="57" t="str">
        <x:v>IMF CPIS</x:v>
      </x:c>
      <x:c r="W167" s="58" t="str">
        <x:v>https://globalcapitalallocation.s3.us-east-2.amazonaws.com/Restated_Bilateral_External_Portfolios_ReadMe.pdf</x:v>
      </x:c>
      <x:c r="X167" s="59" t="n">
        <x:v>0.0002740463640302454</x:v>
      </x:c>
      <x:c r="Y167" s="59" t="n">
        <x:v>0.00016661208961193277</x:v>
      </x:c>
      <x:c r="Z167" s="59" t="n">
        <x:v>0.0002261684457159185</x:v>
      </x:c>
      <x:c r="AA167" s="59" t="n">
        <x:v>0.00034161273154444447</x:v>
      </x:c>
    </x:row>
    <x:row r="168">
      <x:c r="A168" s="53" t="str">
        <x:v>TR</x:v>
      </x:c>
      <x:c r="B168" s="53" t="str">
        <x:v>TUR</x:v>
      </x:c>
      <x:c r="C168" s="53" t="str">
        <x:v>Turkey</x:v>
      </x:c>
      <x:c r="D168" s="53" t="str">
        <x:v>SG</x:v>
      </x:c>
      <x:c r="E168" s="53" t="str">
        <x:v>SGP</x:v>
      </x:c>
      <x:c r="F168" s="53" t="str">
        <x:v>Singapore</x:v>
      </x:c>
      <x:c r="G168" s="53" t="n">
        <x:v>2017</x:v>
      </x:c>
      <x:c r="H168" s="53" t="str">
        <x:v>Issuance</x:v>
      </x:c>
      <x:c r="I168" s="53" t="str">
        <x:v>EF+B</x:v>
      </x:c>
      <x:c r="J168" s="53" t="n">
        <x:v>2</x:v>
      </x:c>
      <x:c r="K168" s="53" t="n">
        <x:v>0</x:v>
      </x:c>
      <x:c r="L168" s="53" t="n">
        <x:v>0</x:v>
      </x:c>
      <x:c r="M168" s="54" t="n">
        <x:v>0</x:v>
      </x:c>
      <x:c r="N168" s="54" t="n">
        <x:v>1.7135668897958114</x:v>
      </x:c>
      <x:c r="O168" s="54" t="n">
        <x:v>0.1790100282002598</x:v>
      </x:c>
      <x:c r="P168" s="54" t="n">
        <x:v>1.5345568615955516</x:v>
      </x:c>
      <x:c r="Q168" s="55" t="b">
        <x:v>0</x:v>
      </x:c>
      <x:c r="R168" s="56" t="str">
        <x:v>none</x:v>
      </x:c>
      <x:c r="S168" s="57" t="str">
        <x:v>GCAP estimated restatement; Position_Residency may include GCAP interpolation/extrapolation per documentation</x:v>
      </x:c>
      <x:c r="T168" s="57" t="str">
        <x:v>diagonal set to zero + within-sample row normalization</x:v>
      </x:c>
      <x:c r="U168" s="57" t="str">
        <x:v>GCAP Restated Bilateral External Portfolios v1.8</x:v>
      </x:c>
      <x:c r="V168" s="57" t="str">
        <x:v>IMF CPIS</x:v>
      </x:c>
      <x:c r="W168" s="58" t="str">
        <x:v>https://globalcapitalallocation.s3.us-east-2.amazonaws.com/Restated_Bilateral_External_Portfolios_ReadMe.pdf</x:v>
      </x:c>
      <x:c r="X168" s="59" t="n">
        <x:v>0.0023170164645350735</x:v>
      </x:c>
      <x:c r="Y168" s="59" t="n">
        <x:v>0</x:v>
      </x:c>
      <x:c r="Z168" s="59" t="n">
        <x:v>0.00041356834425388967</x:v>
      </x:c>
      <x:c r="AA168" s="59" t="n">
        <x:v>0.0050032041637326176</x:v>
      </x:c>
    </x:row>
    <x:row r="169">
      <x:c r="A169" s="53" t="str">
        <x:v>TR</x:v>
      </x:c>
      <x:c r="B169" s="53" t="str">
        <x:v>TUR</x:v>
      </x:c>
      <x:c r="C169" s="53" t="str">
        <x:v>Turkey</x:v>
      </x:c>
      <x:c r="D169" s="53" t="str">
        <x:v>TR</x:v>
      </x:c>
      <x:c r="E169" s="53" t="str">
        <x:v>TUR</x:v>
      </x:c>
      <x:c r="F169" s="53" t="str">
        <x:v>Turkey</x:v>
      </x:c>
      <x:c r="G169" s="53" t="n">
        <x:v>2017</x:v>
      </x:c>
      <x:c r="H169" s="53" t="str">
        <x:v>Issuance</x:v>
      </x:c>
      <x:c r="I169" s="53" t="str">
        <x:v>EF+B</x:v>
      </x:c>
      <x:c r="J169" s="53" t="n">
        <x:v>2</x:v>
      </x:c>
      <x:c r="K169" s="53" t="n">
        <x:v>0</x:v>
      </x:c>
      <x:c r="L169" s="53" t="n">
        <x:v>0</x:v>
      </x:c>
      <x:c r="M169" s="54" t="n">
        <x:v>0</x:v>
      </x:c>
      <x:c r="N169" s="54" t="n">
        <x:v>0.08574392726510477</x:v>
      </x:c>
      <x:c r="O169" s="54" t="n">
        <x:v>0.002022150664532818</x:v>
      </x:c>
      <x:c r="P169" s="54" t="n">
        <x:v>0.08372177660057195</x:v>
      </x:c>
      <x:c r="Q169" s="55" t="b">
        <x:v>1</x:v>
      </x:c>
      <x:c r="R169" s="56" t="str">
        <x:v>none</x:v>
      </x:c>
      <x:c r="S169" s="57" t="str">
        <x:v>GCAP estimated restatement; Position_Residency may include GCAP interpolation/extrapolation per documentation</x:v>
      </x:c>
      <x:c r="T169" s="57" t="str">
        <x:v>EA issuer aggregation + diagonal set to zero + within-sample row normalization</x:v>
      </x:c>
      <x:c r="U169" s="57" t="str">
        <x:v>GCAP Restated Bilateral External Portfolios v1.8</x:v>
      </x:c>
      <x:c r="V169" s="57" t="str">
        <x:v>IMF CPIS</x:v>
      </x:c>
      <x:c r="W169" s="58" t="str">
        <x:v>https://globalcapitalallocation.s3.us-east-2.amazonaws.com/Restated_Bilateral_External_Portfolios_ReadMe.pdf</x:v>
      </x:c>
      <x:c r="X169" s="59" t="n">
        <x:v>0</x:v>
      </x:c>
      <x:c r="Y169" s="59" t="n">
        <x:v>0</x:v>
      </x:c>
      <x:c r="Z169" s="59" t="n">
        <x:v>0</x:v>
      </x:c>
      <x:c r="AA169" s="59" t="n">
        <x:v>0</x:v>
      </x:c>
    </x:row>
    <x:row r="170">
      <x:c r="A170" s="53" t="str">
        <x:v>TR</x:v>
      </x:c>
      <x:c r="B170" s="53" t="str">
        <x:v>TUR</x:v>
      </x:c>
      <x:c r="C170" s="53" t="str">
        <x:v>Turkey</x:v>
      </x:c>
      <x:c r="D170" s="53" t="str">
        <x:v>US</x:v>
      </x:c>
      <x:c r="E170" s="53" t="str">
        <x:v>USA</x:v>
      </x:c>
      <x:c r="F170" s="53" t="str">
        <x:v>United States</x:v>
      </x:c>
      <x:c r="G170" s="53" t="n">
        <x:v>2017</x:v>
      </x:c>
      <x:c r="H170" s="53" t="str">
        <x:v>Issuance</x:v>
      </x:c>
      <x:c r="I170" s="53" t="str">
        <x:v>EF+B</x:v>
      </x:c>
      <x:c r="J170" s="53" t="n">
        <x:v>2</x:v>
      </x:c>
      <x:c r="K170" s="53" t="n">
        <x:v>0</x:v>
      </x:c>
      <x:c r="L170" s="53" t="n">
        <x:v>0</x:v>
      </x:c>
      <x:c r="M170" s="54" t="n">
        <x:v>388.414015</x:v>
      </x:c>
      <x:c r="N170" s="54" t="n">
        <x:v>470.53426380872713</x:v>
      </x:c>
      <x:c r="O170" s="54" t="n">
        <x:v>338.66978170911284</x:v>
      </x:c>
      <x:c r="P170" s="54" t="n">
        <x:v>131.86448209961426</x:v>
      </x:c>
      <x:c r="Q170" s="55" t="b">
        <x:v>0</x:v>
      </x:c>
      <x:c r="R170" s="56" t="str">
        <x:v>none</x:v>
      </x:c>
      <x:c r="S170" s="57" t="str">
        <x:v>GCAP estimated restatement; Position_Residency may include GCAP interpolation/extrapolation per documentation</x:v>
      </x:c>
      <x:c r="T170" s="57" t="str">
        <x:v>diagonal set to zero + within-sample row normalization</x:v>
      </x:c>
      <x:c r="U170" s="57" t="str">
        <x:v>GCAP Restated Bilateral External Portfolios v1.8</x:v>
      </x:c>
      <x:c r="V170" s="57" t="str">
        <x:v>IMF CPIS</x:v>
      </x:c>
      <x:c r="W170" s="58" t="str">
        <x:v>https://globalcapitalallocation.s3.us-east-2.amazonaws.com/Restated_Bilateral_External_Portfolios_ReadMe.pdf</x:v>
      </x:c>
      <x:c r="X170" s="59" t="n">
        <x:v>0.6362375713869115</x:v>
      </x:c>
      <x:c r="Y170" s="59" t="n">
        <x:v>0.6850266822664401</x:v>
      </x:c>
      <x:c r="Z170" s="59" t="n">
        <x:v>0.7824315893273558</x:v>
      </x:c>
      <x:c r="AA170" s="59" t="n">
        <x:v>0.42992536959710126</x:v>
      </x:c>
    </x:row>
    <x:row r="171">
      <x:c r="A171" s="53" t="str">
        <x:v>TR</x:v>
      </x:c>
      <x:c r="B171" s="53" t="str">
        <x:v>TUR</x:v>
      </x:c>
      <x:c r="C171" s="53" t="str">
        <x:v>Turkey</x:v>
      </x:c>
      <x:c r="D171" s="53" t="str">
        <x:v>ZA</x:v>
      </x:c>
      <x:c r="E171" s="53" t="str">
        <x:v>ZAF</x:v>
      </x:c>
      <x:c r="F171" s="53" t="str">
        <x:v>South Africa</x:v>
      </x:c>
      <x:c r="G171" s="53" t="n">
        <x:v>2017</x:v>
      </x:c>
      <x:c r="H171" s="53" t="str">
        <x:v>Issuance</x:v>
      </x:c>
      <x:c r="I171" s="53" t="str">
        <x:v>EF+B</x:v>
      </x:c>
      <x:c r="J171" s="53" t="n">
        <x:v>2</x:v>
      </x:c>
      <x:c r="K171" s="53" t="n">
        <x:v>0</x:v>
      </x:c>
      <x:c r="L171" s="53" t="n">
        <x:v>0</x:v>
      </x:c>
      <x:c r="M171" s="54" t="n">
        <x:v>0.225302</x:v>
      </x:c>
      <x:c r="N171" s="54" t="n">
        <x:v>0.3812696995390853</x:v>
      </x:c>
      <x:c r="O171" s="54" t="n">
        <x:v>0.03869137142572654</x:v>
      </x:c>
      <x:c r="P171" s="54" t="n">
        <x:v>0.34257832811335875</x:v>
      </x:c>
      <x:c r="Q171" s="55" t="b">
        <x:v>0</x:v>
      </x:c>
      <x:c r="R171" s="56" t="str">
        <x:v>none</x:v>
      </x:c>
      <x:c r="S171" s="57" t="str">
        <x:v>GCAP estimated restatement; Position_Residency may include GCAP interpolation/extrapolation per documentation</x:v>
      </x:c>
      <x:c r="T171" s="57" t="str">
        <x:v>diagonal set to zero + within-sample row normalization</x:v>
      </x:c>
      <x:c r="U171" s="57" t="str">
        <x:v>GCAP Restated Bilateral External Portfolios v1.8</x:v>
      </x:c>
      <x:c r="V171" s="57" t="str">
        <x:v>IMF CPIS</x:v>
      </x:c>
      <x:c r="W171" s="58" t="str">
        <x:v>https://globalcapitalallocation.s3.us-east-2.amazonaws.com/Restated_Bilateral_External_Portfolios_ReadMe.pdf</x:v>
      </x:c>
      <x:c r="X171" s="59" t="n">
        <x:v>0.0005155376055180828</x:v>
      </x:c>
      <x:c r="Y171" s="59" t="n">
        <x:v>0.00039735404904993836</x:v>
      </x:c>
      <x:c r="Z171" s="59" t="n">
        <x:v>0.00008938899445090843</x:v>
      </x:c>
      <x:c r="AA171" s="59" t="n">
        <x:v>0.0011169278640083752</x:v>
      </x:c>
    </x:row>
    <x:row r="172">
      <x:c r="A172" s="53" t="str">
        <x:v>US</x:v>
      </x:c>
      <x:c r="B172" s="53" t="str">
        <x:v>USA</x:v>
      </x:c>
      <x:c r="C172" s="53" t="str">
        <x:v>United States</x:v>
      </x:c>
      <x:c r="D172" s="53" t="str">
        <x:v>AU</x:v>
      </x:c>
      <x:c r="E172" s="53" t="str">
        <x:v>AUS</x:v>
      </x:c>
      <x:c r="F172" s="53" t="str">
        <x:v>Australia</x:v>
      </x:c>
      <x:c r="G172" s="53" t="n">
        <x:v>2017</x:v>
      </x:c>
      <x:c r="H172" s="53" t="str">
        <x:v>Fund Holdings</x:v>
      </x:c>
      <x:c r="I172" s="53" t="str">
        <x:v>E+BC+BG+BSF</x:v>
      </x:c>
      <x:c r="J172" s="53" t="n">
        <x:v>4</x:v>
      </x:c>
      <x:c r="K172" s="53" t="n">
        <x:v>0</x:v>
      </x:c>
      <x:c r="L172" s="53" t="n">
        <x:v>0</x:v>
      </x:c>
      <x:c r="M172" s="54" t="n">
        <x:v>339540</x:v>
      </x:c>
      <x:c r="N172" s="54" t="n">
        <x:v>347350.42290098727</x:v>
      </x:c>
      <x:c r="O172" s="54" t="n">
        <x:v>188659.37702019274</x:v>
      </x:c>
      <x:c r="P172" s="54" t="n">
        <x:v>158691.04588079453</x:v>
      </x:c>
      <x:c r="Q172" s="55" t="b">
        <x:v>0</x:v>
      </x:c>
      <x:c r="R172" s="56" t="str">
        <x:v>none</x:v>
      </x:c>
      <x:c r="S172" s="57" t="str">
        <x:v>GCAP estimated restatement; Position_Residency may include GCAP interpolation/extrapolation per documentation</x:v>
      </x:c>
      <x:c r="T172" s="57" t="str">
        <x:v>diagonal set to zero + within-sample row normalization</x:v>
      </x:c>
      <x:c r="U172" s="57" t="str">
        <x:v>GCAP Restated Bilateral External Portfolios v1.8</x:v>
      </x:c>
      <x:c r="V172" s="57" t="str">
        <x:v>US Treasury TIC</x:v>
      </x:c>
      <x:c r="W172" s="58" t="str">
        <x:v>https://globalcapitalallocation.s3.us-east-2.amazonaws.com/Restated_Bilateral_External_Portfolios_ReadMe.pdf</x:v>
      </x:c>
      <x:c r="X172" s="59" t="n">
        <x:v>0.04266737991274516</x:v>
      </x:c>
      <x:c r="Y172" s="59" t="n">
        <x:v>0.0427839264288841</x:v>
      </x:c>
      <x:c r="Z172" s="59" t="n">
        <x:v>0.03180292300631867</x:v>
      </x:c>
      <x:c r="AA172" s="59" t="n">
        <x:v>0.07184654325899552</x:v>
      </x:c>
    </x:row>
    <x:row r="173">
      <x:c r="A173" s="53" t="str">
        <x:v>US</x:v>
      </x:c>
      <x:c r="B173" s="53" t="str">
        <x:v>USA</x:v>
      </x:c>
      <x:c r="C173" s="53" t="str">
        <x:v>United States</x:v>
      </x:c>
      <x:c r="D173" s="53" t="str">
        <x:v>BR</x:v>
      </x:c>
      <x:c r="E173" s="53" t="str">
        <x:v>BRA</x:v>
      </x:c>
      <x:c r="F173" s="53" t="str">
        <x:v>Brazil</x:v>
      </x:c>
      <x:c r="G173" s="53" t="n">
        <x:v>2017</x:v>
      </x:c>
      <x:c r="H173" s="53" t="str">
        <x:v>Fund Holdings</x:v>
      </x:c>
      <x:c r="I173" s="53" t="str">
        <x:v>E+BC+BG+BSF</x:v>
      </x:c>
      <x:c r="J173" s="53" t="n">
        <x:v>4</x:v>
      </x:c>
      <x:c r="K173" s="53" t="n">
        <x:v>0</x:v>
      </x:c>
      <x:c r="L173" s="53" t="n">
        <x:v>0</x:v>
      </x:c>
      <x:c r="M173" s="54" t="n">
        <x:v>153495</x:v>
      </x:c>
      <x:c r="N173" s="54" t="n">
        <x:v>186721.20143213985</x:v>
      </x:c>
      <x:c r="O173" s="54" t="n">
        <x:v>105410.54252405465</x:v>
      </x:c>
      <x:c r="P173" s="54" t="n">
        <x:v>81310.6589080852</x:v>
      </x:c>
      <x:c r="Q173" s="55" t="b">
        <x:v>0</x:v>
      </x:c>
      <x:c r="R173" s="56" t="str">
        <x:v>none</x:v>
      </x:c>
      <x:c r="S173" s="57" t="str">
        <x:v>GCAP estimated restatement; Position_Residency may include GCAP interpolation/extrapolation per documentation</x:v>
      </x:c>
      <x:c r="T173" s="57" t="str">
        <x:v>diagonal set to zero + within-sample row normalization</x:v>
      </x:c>
      <x:c r="U173" s="57" t="str">
        <x:v>GCAP Restated Bilateral External Portfolios v1.8</x:v>
      </x:c>
      <x:c r="V173" s="57" t="str">
        <x:v>US Treasury TIC</x:v>
      </x:c>
      <x:c r="W173" s="58" t="str">
        <x:v>https://globalcapitalallocation.s3.us-east-2.amazonaws.com/Restated_Bilateral_External_Portfolios_ReadMe.pdf</x:v>
      </x:c>
      <x:c r="X173" s="59" t="n">
        <x:v>0.02293621632221333</x:v>
      </x:c>
      <x:c r="Y173" s="59" t="n">
        <x:v>0.019341222793195396</x:v>
      </x:c>
      <x:c r="Z173" s="59" t="n">
        <x:v>0.01776939699948218</x:v>
      </x:c>
      <x:c r="AA173" s="59" t="n">
        <x:v>0.0368129766883349</x:v>
      </x:c>
    </x:row>
    <x:row r="174">
      <x:c r="A174" s="53" t="str">
        <x:v>US</x:v>
      </x:c>
      <x:c r="B174" s="53" t="str">
        <x:v>USA</x:v>
      </x:c>
      <x:c r="C174" s="53" t="str">
        <x:v>United States</x:v>
      </x:c>
      <x:c r="D174" s="53" t="str">
        <x:v>CA</x:v>
      </x:c>
      <x:c r="E174" s="53" t="str">
        <x:v>CAN</x:v>
      </x:c>
      <x:c r="F174" s="53" t="str">
        <x:v>Canada</x:v>
      </x:c>
      <x:c r="G174" s="53" t="n">
        <x:v>2017</x:v>
      </x:c>
      <x:c r="H174" s="53" t="str">
        <x:v>Fund Holdings</x:v>
      </x:c>
      <x:c r="I174" s="53" t="str">
        <x:v>E+BC+BG+BSF</x:v>
      </x:c>
      <x:c r="J174" s="53" t="n">
        <x:v>4</x:v>
      </x:c>
      <x:c r="K174" s="53" t="n">
        <x:v>0</x:v>
      </x:c>
      <x:c r="L174" s="53" t="n">
        <x:v>0</x:v>
      </x:c>
      <x:c r="M174" s="54" t="n">
        <x:v>976235</x:v>
      </x:c>
      <x:c r="N174" s="54" t="n">
        <x:v>961912.7409914054</x:v>
      </x:c>
      <x:c r="O174" s="54" t="n">
        <x:v>482790.9197636687</x:v>
      </x:c>
      <x:c r="P174" s="54" t="n">
        <x:v>479121.8212277368</x:v>
      </x:c>
      <x:c r="Q174" s="55" t="b">
        <x:v>0</x:v>
      </x:c>
      <x:c r="R174" s="56" t="str">
        <x:v>none</x:v>
      </x:c>
      <x:c r="S174" s="57" t="str">
        <x:v>GCAP estimated restatement; Position_Residency may include GCAP interpolation/extrapolation per documentation</x:v>
      </x:c>
      <x:c r="T174" s="57" t="str">
        <x:v>diagonal set to zero + within-sample row normalization</x:v>
      </x:c>
      <x:c r="U174" s="57" t="str">
        <x:v>GCAP Restated Bilateral External Portfolios v1.8</x:v>
      </x:c>
      <x:c r="V174" s="57" t="str">
        <x:v>US Treasury TIC</x:v>
      </x:c>
      <x:c r="W174" s="58" t="str">
        <x:v>https://globalcapitalallocation.s3.us-east-2.amazonaws.com/Restated_Bilateral_External_Portfolios_ReadMe.pdf</x:v>
      </x:c>
      <x:c r="X174" s="59" t="n">
        <x:v>0.11815818740053614</x:v>
      </x:c>
      <x:c r="Y174" s="59" t="n">
        <x:v>0.12301103380250242</x:v>
      </x:c>
      <x:c r="Z174" s="59" t="n">
        <x:v>0.0813856310346574</x:v>
      </x:c>
      <x:c r="AA174" s="59" t="n">
        <x:v>0.21691990536772535</x:v>
      </x:c>
    </x:row>
    <x:row r="175">
      <x:c r="A175" s="53" t="str">
        <x:v>US</x:v>
      </x:c>
      <x:c r="B175" s="53" t="str">
        <x:v>USA</x:v>
      </x:c>
      <x:c r="C175" s="53" t="str">
        <x:v>United States</x:v>
      </x:c>
      <x:c r="D175" s="53" t="str">
        <x:v>CH</x:v>
      </x:c>
      <x:c r="E175" s="53" t="str">
        <x:v>CHE</x:v>
      </x:c>
      <x:c r="F175" s="53" t="str">
        <x:v>Switzerland</x:v>
      </x:c>
      <x:c r="G175" s="53" t="n">
        <x:v>2017</x:v>
      </x:c>
      <x:c r="H175" s="53" t="str">
        <x:v>Fund Holdings</x:v>
      </x:c>
      <x:c r="I175" s="53" t="str">
        <x:v>E+BC+BG+BSF</x:v>
      </x:c>
      <x:c r="J175" s="53" t="n">
        <x:v>4</x:v>
      </x:c>
      <x:c r="K175" s="53" t="n">
        <x:v>0</x:v>
      </x:c>
      <x:c r="L175" s="53" t="n">
        <x:v>0</x:v>
      </x:c>
      <x:c r="M175" s="54" t="n">
        <x:v>504637</x:v>
      </x:c>
      <x:c r="N175" s="54" t="n">
        <x:v>476121.7955407612</x:v>
      </x:c>
      <x:c r="O175" s="54" t="n">
        <x:v>401370.48097451776</x:v>
      </x:c>
      <x:c r="P175" s="54" t="n">
        <x:v>74751.31456624344</x:v>
      </x:c>
      <x:c r="Q175" s="55" t="b">
        <x:v>0</x:v>
      </x:c>
      <x:c r="R175" s="56" t="str">
        <x:v>none</x:v>
      </x:c>
      <x:c r="S175" s="57" t="str">
        <x:v>GCAP estimated restatement; Position_Residency may include GCAP interpolation/extrapolation per documentation</x:v>
      </x:c>
      <x:c r="T175" s="57" t="str">
        <x:v>diagonal set to zero + within-sample row normalization</x:v>
      </x:c>
      <x:c r="U175" s="57" t="str">
        <x:v>GCAP Restated Bilateral External Portfolios v1.8</x:v>
      </x:c>
      <x:c r="V175" s="57" t="str">
        <x:v>US Treasury TIC</x:v>
      </x:c>
      <x:c r="W175" s="58" t="str">
        <x:v>https://globalcapitalallocation.s3.us-east-2.amazonaws.com/Restated_Bilateral_External_Portfolios_ReadMe.pdf</x:v>
      </x:c>
      <x:c r="X175" s="59" t="n">
        <x:v>0.05848523046383858</x:v>
      </x:c>
      <x:c r="Y175" s="59" t="n">
        <x:v>0.0635870656809</x:v>
      </x:c>
      <x:c r="Z175" s="59" t="n">
        <x:v>0.06766032362163178</x:v>
      </x:c>
      <x:c r="AA175" s="59" t="n">
        <x:v>0.03384326775238909</x:v>
      </x:c>
    </x:row>
    <x:row r="176">
      <x:c r="A176" s="53" t="str">
        <x:v>US</x:v>
      </x:c>
      <x:c r="B176" s="53" t="str">
        <x:v>USA</x:v>
      </x:c>
      <x:c r="C176" s="53" t="str">
        <x:v>United States</x:v>
      </x:c>
      <x:c r="D176" s="53" t="str">
        <x:v>CN</x:v>
      </x:c>
      <x:c r="E176" s="53" t="str">
        <x:v>CHN</x:v>
      </x:c>
      <x:c r="F176" s="53" t="str">
        <x:v>China</x:v>
      </x:c>
      <x:c r="G176" s="53" t="n">
        <x:v>2017</x:v>
      </x:c>
      <x:c r="H176" s="53" t="str">
        <x:v>Fund Holdings</x:v>
      </x:c>
      <x:c r="I176" s="53" t="str">
        <x:v>E+BC+BG+BSF</x:v>
      </x:c>
      <x:c r="J176" s="53" t="n">
        <x:v>4</x:v>
      </x:c>
      <x:c r="K176" s="53" t="n">
        <x:v>0</x:v>
      </x:c>
      <x:c r="L176" s="53" t="n">
        <x:v>0</x:v>
      </x:c>
      <x:c r="M176" s="54" t="n">
        <x:v>158413</x:v>
      </x:c>
      <x:c r="N176" s="54" t="n">
        <x:v>754237.815705806</x:v>
      </x:c>
      <x:c r="O176" s="54" t="n">
        <x:v>698524.1102620363</x:v>
      </x:c>
      <x:c r="P176" s="54" t="n">
        <x:v>55713.70544376969</x:v>
      </x:c>
      <x:c r="Q176" s="55" t="b">
        <x:v>0</x:v>
      </x:c>
      <x:c r="R176" s="56" t="str">
        <x:v>none</x:v>
      </x:c>
      <x:c r="S176" s="57" t="str">
        <x:v>GCAP estimated restatement; Position_Residency may include GCAP interpolation/extrapolation per documentation</x:v>
      </x:c>
      <x:c r="T176" s="57" t="str">
        <x:v>diagonal set to zero + within-sample row normalization</x:v>
      </x:c>
      <x:c r="U176" s="57" t="str">
        <x:v>GCAP Restated Bilateral External Portfolios v1.8</x:v>
      </x:c>
      <x:c r="V176" s="57" t="str">
        <x:v>US Treasury TIC</x:v>
      </x:c>
      <x:c r="W176" s="58" t="str">
        <x:v>https://globalcapitalallocation.s3.us-east-2.amazonaws.com/Restated_Bilateral_External_Portfolios_ReadMe.pdf</x:v>
      </x:c>
      <x:c r="X176" s="59" t="n">
        <x:v>0.09264808477418217</x:v>
      </x:c>
      <x:c r="Y176" s="59" t="n">
        <x:v>0.019960918116801608</x:v>
      </x:c>
      <x:c r="Z176" s="59" t="n">
        <x:v>0.11775247457932107</x:v>
      </x:c>
      <x:c r="AA176" s="59" t="n">
        <x:v>0.025224089526081916</x:v>
      </x:c>
    </x:row>
    <x:row r="177">
      <x:c r="A177" s="53" t="str">
        <x:v>US</x:v>
      </x:c>
      <x:c r="B177" s="53" t="str">
        <x:v>USA</x:v>
      </x:c>
      <x:c r="C177" s="53" t="str">
        <x:v>United States</x:v>
      </x:c>
      <x:c r="D177" s="53" t="str">
        <x:v>EA</x:v>
      </x:c>
      <x:c r="E177" s="53" t="str">
        <x:v>EMU</x:v>
      </x:c>
      <x:c r="F177" s="53" t="str">
        <x:v>European Monetary Union</x:v>
      </x:c>
      <x:c r="G177" s="53" t="n">
        <x:v>2017</x:v>
      </x:c>
      <x:c r="H177" s="53" t="str">
        <x:v>Fund Holdings</x:v>
      </x:c>
      <x:c r="I177" s="53" t="str">
        <x:v>E+BC+BG+BSF</x:v>
      </x:c>
      <x:c r="J177" s="53" t="n">
        <x:v>76</x:v>
      </x:c>
      <x:c r="K177" s="53" t="n">
        <x:v>0</x:v>
      </x:c>
      <x:c r="L177" s="53" t="n">
        <x:v>0</x:v>
      </x:c>
      <x:c r="M177" s="54" t="n">
        <x:v>2640992</x:v>
      </x:c>
      <x:c r="N177" s="54" t="n">
        <x:v>2337088.353498629</x:v>
      </x:c>
      <x:c r="O177" s="54" t="n">
        <x:v>1721944.563384621</x:v>
      </x:c>
      <x:c r="P177" s="54" t="n">
        <x:v>615143.7901140079</x:v>
      </x:c>
      <x:c r="Q177" s="55" t="b">
        <x:v>0</x:v>
      </x:c>
      <x:c r="R177" s="56" t="str">
        <x:v>none</x:v>
      </x:c>
      <x:c r="S177" s="57" t="str">
        <x:v>GCAP estimated restatement; Position_Residency may include GCAP interpolation/extrapolation per documentation</x:v>
      </x:c>
      <x:c r="T177" s="57" t="str">
        <x:v>EA issuer aggregation + diagonal set to zero + within-sample row normalization</x:v>
      </x:c>
      <x:c r="U177" s="57" t="str">
        <x:v>GCAP Restated Bilateral External Portfolios v1.8</x:v>
      </x:c>
      <x:c r="V177" s="57" t="str">
        <x:v>US Treasury TIC</x:v>
      </x:c>
      <x:c r="W177" s="58" t="str">
        <x:v>https://globalcapitalallocation.s3.us-east-2.amazonaws.com/Restated_Bilateral_External_Portfolios_ReadMe.pdf</x:v>
      </x:c>
      <x:c r="X177" s="59" t="n">
        <x:v>0.2870802224323264</x:v>
      </x:c>
      <x:c r="Y177" s="59" t="n">
        <x:v>0.3327796649209857</x:v>
      </x:c>
      <x:c r="Z177" s="59" t="n">
        <x:v>0.29027377931290793</x:v>
      </x:c>
      <x:c r="AA177" s="59" t="n">
        <x:v>0.2785031422637899</x:v>
      </x:c>
    </x:row>
    <x:row r="178">
      <x:c r="A178" s="53" t="str">
        <x:v>US</x:v>
      </x:c>
      <x:c r="B178" s="53" t="str">
        <x:v>USA</x:v>
      </x:c>
      <x:c r="C178" s="53" t="str">
        <x:v>United States</x:v>
      </x:c>
      <x:c r="D178" s="53" t="str">
        <x:v>UK</x:v>
      </x:c>
      <x:c r="E178" s="53" t="str">
        <x:v>GBR</x:v>
      </x:c>
      <x:c r="F178" s="53" t="str">
        <x:v>United Kingdom</x:v>
      </x:c>
      <x:c r="G178" s="53" t="n">
        <x:v>2017</x:v>
      </x:c>
      <x:c r="H178" s="53" t="str">
        <x:v>Fund Holdings</x:v>
      </x:c>
      <x:c r="I178" s="53" t="str">
        <x:v>E+BC+BG+BSF</x:v>
      </x:c>
      <x:c r="J178" s="53" t="n">
        <x:v>4</x:v>
      </x:c>
      <x:c r="K178" s="53" t="n">
        <x:v>0</x:v>
      </x:c>
      <x:c r="L178" s="53" t="n">
        <x:v>0</x:v>
      </x:c>
      <x:c r="M178" s="54" t="n">
        <x:v>1401831</x:v>
      </x:c>
      <x:c r="N178" s="54" t="n">
        <x:v>1382956.7485037446</x:v>
      </x:c>
      <x:c r="O178" s="54" t="n">
        <x:v>1003542.8161497712</x:v>
      </x:c>
      <x:c r="P178" s="54" t="n">
        <x:v>379413.9323539734</x:v>
      </x:c>
      <x:c r="Q178" s="55" t="b">
        <x:v>0</x:v>
      </x:c>
      <x:c r="R178" s="56" t="str">
        <x:v>none</x:v>
      </x:c>
      <x:c r="S178" s="57" t="str">
        <x:v>GCAP estimated restatement; Position_Residency may include GCAP interpolation/extrapolation per documentation</x:v>
      </x:c>
      <x:c r="T178" s="57" t="str">
        <x:v>diagonal set to zero + within-sample row normalization</x:v>
      </x:c>
      <x:c r="U178" s="57" t="str">
        <x:v>GCAP Restated Bilateral External Portfolios v1.8</x:v>
      </x:c>
      <x:c r="V178" s="57" t="str">
        <x:v>US Treasury TIC</x:v>
      </x:c>
      <x:c r="W178" s="58" t="str">
        <x:v>https://globalcapitalallocation.s3.us-east-2.amazonaws.com/Restated_Bilateral_External_Portfolios_ReadMe.pdf</x:v>
      </x:c>
      <x:c r="X178" s="59" t="n">
        <x:v>0.16987784410478207</x:v>
      </x:c>
      <x:c r="Y178" s="59" t="n">
        <x:v>0.17663849434449264</x:v>
      </x:c>
      <x:c r="Z178" s="59" t="n">
        <x:v>0.1691704670059383</x:v>
      </x:c>
      <x:c r="AA178" s="59" t="n">
        <x:v>0.17177767877597952</x:v>
      </x:c>
    </x:row>
    <x:row r="179">
      <x:c r="A179" s="53" t="str">
        <x:v>US</x:v>
      </x:c>
      <x:c r="B179" s="53" t="str">
        <x:v>USA</x:v>
      </x:c>
      <x:c r="C179" s="53" t="str">
        <x:v>United States</x:v>
      </x:c>
      <x:c r="D179" s="53" t="str">
        <x:v>JP</x:v>
      </x:c>
      <x:c r="E179" s="53" t="str">
        <x:v>JPN</x:v>
      </x:c>
      <x:c r="F179" s="53" t="str">
        <x:v>Japan</x:v>
      </x:c>
      <x:c r="G179" s="53" t="n">
        <x:v>2017</x:v>
      </x:c>
      <x:c r="H179" s="53" t="str">
        <x:v>Fund Holdings</x:v>
      </x:c>
      <x:c r="I179" s="53" t="str">
        <x:v>E+BC+BG+BSF</x:v>
      </x:c>
      <x:c r="J179" s="53" t="n">
        <x:v>4</x:v>
      </x:c>
      <x:c r="K179" s="53" t="n">
        <x:v>0</x:v>
      </x:c>
      <x:c r="L179" s="53" t="n">
        <x:v>0</x:v>
      </x:c>
      <x:c r="M179" s="54" t="n">
        <x:v>1124541</x:v>
      </x:c>
      <x:c r="N179" s="54" t="n">
        <x:v>1151403.487131402</x:v>
      </x:c>
      <x:c r="O179" s="54" t="n">
        <x:v>899564.4011036158</x:v>
      </x:c>
      <x:c r="P179" s="54" t="n">
        <x:v>251839.08602778614</x:v>
      </x:c>
      <x:c r="Q179" s="55" t="b">
        <x:v>0</x:v>
      </x:c>
      <x:c r="R179" s="56" t="str">
        <x:v>none</x:v>
      </x:c>
      <x:c r="S179" s="57" t="str">
        <x:v>GCAP estimated restatement; Position_Residency may include GCAP interpolation/extrapolation per documentation</x:v>
      </x:c>
      <x:c r="T179" s="57" t="str">
        <x:v>diagonal set to zero + within-sample row normalization</x:v>
      </x:c>
      <x:c r="U179" s="57" t="str">
        <x:v>GCAP Restated Bilateral External Portfolios v1.8</x:v>
      </x:c>
      <x:c r="V179" s="57" t="str">
        <x:v>US Treasury TIC</x:v>
      </x:c>
      <x:c r="W179" s="58" t="str">
        <x:v>https://globalcapitalallocation.s3.us-east-2.amazonaws.com/Restated_Bilateral_External_Portfolios_ReadMe.pdf</x:v>
      </x:c>
      <x:c r="X179" s="59" t="n">
        <x:v>0.14143460545691905</x:v>
      </x:c>
      <x:c r="Y179" s="59" t="n">
        <x:v>0.14169841376645978</x:v>
      </x:c>
      <x:c r="Z179" s="59" t="n">
        <x:v>0.15164248837979244</x:v>
      </x:c>
      <x:c r="AA179" s="59" t="n">
        <x:v>0.11401883255714945</x:v>
      </x:c>
    </x:row>
    <x:row r="180">
      <x:c r="A180" s="53" t="str">
        <x:v>US</x:v>
      </x:c>
      <x:c r="B180" s="53" t="str">
        <x:v>USA</x:v>
      </x:c>
      <x:c r="C180" s="53" t="str">
        <x:v>United States</x:v>
      </x:c>
      <x:c r="D180" s="53" t="str">
        <x:v>KR</x:v>
      </x:c>
      <x:c r="E180" s="53" t="str">
        <x:v>KOR</x:v>
      </x:c>
      <x:c r="F180" s="53" t="str">
        <x:v>Korea, Republic of</x:v>
      </x:c>
      <x:c r="G180" s="53" t="n">
        <x:v>2017</x:v>
      </x:c>
      <x:c r="H180" s="53" t="str">
        <x:v>Fund Holdings</x:v>
      </x:c>
      <x:c r="I180" s="53" t="str">
        <x:v>E+BC+BG+BSF</x:v>
      </x:c>
      <x:c r="J180" s="53" t="n">
        <x:v>4</x:v>
      </x:c>
      <x:c r="K180" s="53" t="n">
        <x:v>0</x:v>
      </x:c>
      <x:c r="L180" s="53" t="n">
        <x:v>0</x:v>
      </x:c>
      <x:c r="M180" s="54" t="n">
        <x:v>247774</x:v>
      </x:c>
      <x:c r="N180" s="54" t="n">
        <x:v>246521.00380100682</x:v>
      </x:c>
      <x:c r="O180" s="54" t="n">
        <x:v>224776.63129605725</x:v>
      </x:c>
      <x:c r="P180" s="54" t="n">
        <x:v>21744.37250494957</x:v>
      </x:c>
      <x:c r="Q180" s="55" t="b">
        <x:v>0</x:v>
      </x:c>
      <x:c r="R180" s="56" t="str">
        <x:v>none</x:v>
      </x:c>
      <x:c r="S180" s="57" t="str">
        <x:v>GCAP estimated restatement; Position_Residency may include GCAP interpolation/extrapolation per documentation</x:v>
      </x:c>
      <x:c r="T180" s="57" t="str">
        <x:v>diagonal set to zero + within-sample row normalization</x:v>
      </x:c>
      <x:c r="U180" s="57" t="str">
        <x:v>GCAP Restated Bilateral External Portfolios v1.8</x:v>
      </x:c>
      <x:c r="V180" s="57" t="str">
        <x:v>US Treasury TIC</x:v>
      </x:c>
      <x:c r="W180" s="58" t="str">
        <x:v>https://globalcapitalallocation.s3.us-east-2.amazonaws.com/Restated_Bilateral_External_Portfolios_ReadMe.pdf</x:v>
      </x:c>
      <x:c r="X180" s="59" t="n">
        <x:v>0.030281826743729458</x:v>
      </x:c>
      <x:c r="Y180" s="59" t="n">
        <x:v>0.0312209005919489</x:v>
      </x:c>
      <x:c r="Z180" s="59" t="n">
        <x:v>0.03789132568779266</x:v>
      </x:c>
      <x:c r="AA180" s="59" t="n">
        <x:v>0.00984465122871588</x:v>
      </x:c>
    </x:row>
    <x:row r="181">
      <x:c r="A181" s="53" t="str">
        <x:v>US</x:v>
      </x:c>
      <x:c r="B181" s="53" t="str">
        <x:v>USA</x:v>
      </x:c>
      <x:c r="C181" s="53" t="str">
        <x:v>United States</x:v>
      </x:c>
      <x:c r="D181" s="53" t="str">
        <x:v>NO</x:v>
      </x:c>
      <x:c r="E181" s="53" t="str">
        <x:v>NOR</x:v>
      </x:c>
      <x:c r="F181" s="53" t="str">
        <x:v>Norway</x:v>
      </x:c>
      <x:c r="G181" s="53" t="n">
        <x:v>2017</x:v>
      </x:c>
      <x:c r="H181" s="53" t="str">
        <x:v>Fund Holdings</x:v>
      </x:c>
      <x:c r="I181" s="53" t="str">
        <x:v>E+BC+BG+BSF</x:v>
      </x:c>
      <x:c r="J181" s="53" t="n">
        <x:v>4</x:v>
      </x:c>
      <x:c r="K181" s="53" t="n">
        <x:v>0</x:v>
      </x:c>
      <x:c r="L181" s="53" t="n">
        <x:v>0</x:v>
      </x:c>
      <x:c r="M181" s="54" t="n">
        <x:v>70847</x:v>
      </x:c>
      <x:c r="N181" s="54" t="n">
        <x:v>72962.12711412972</x:v>
      </x:c>
      <x:c r="O181" s="54" t="n">
        <x:v>37064.943612098694</x:v>
      </x:c>
      <x:c r="P181" s="54" t="n">
        <x:v>35897.183502031025</x:v>
      </x:c>
      <x:c r="Q181" s="55" t="b">
        <x:v>0</x:v>
      </x:c>
      <x:c r="R181" s="56" t="str">
        <x:v>none</x:v>
      </x:c>
      <x:c r="S181" s="57" t="str">
        <x:v>GCAP estimated restatement; Position_Residency may include GCAP interpolation/extrapolation per documentation</x:v>
      </x:c>
      <x:c r="T181" s="57" t="str">
        <x:v>diagonal set to zero + within-sample row normalization</x:v>
      </x:c>
      <x:c r="U181" s="57" t="str">
        <x:v>GCAP Restated Bilateral External Portfolios v1.8</x:v>
      </x:c>
      <x:c r="V181" s="57" t="str">
        <x:v>US Treasury TIC</x:v>
      </x:c>
      <x:c r="W181" s="58" t="str">
        <x:v>https://globalcapitalallocation.s3.us-east-2.amazonaws.com/Restated_Bilateral_External_Portfolios_ReadMe.pdf</x:v>
      </x:c>
      <x:c r="X181" s="59" t="n">
        <x:v>0.008962426965888486</x:v>
      </x:c>
      <x:c r="Y181" s="59" t="n">
        <x:v>0.00892711561438167</x:v>
      </x:c>
      <x:c r="Z181" s="59" t="n">
        <x:v>0.006248157746237816</x:v>
      </x:c>
      <x:c r="AA181" s="59" t="n">
        <x:v>0.016252262583814157</x:v>
      </x:c>
    </x:row>
    <x:row r="182">
      <x:c r="A182" s="53" t="str">
        <x:v>US</x:v>
      </x:c>
      <x:c r="B182" s="53" t="str">
        <x:v>USA</x:v>
      </x:c>
      <x:c r="C182" s="53" t="str">
        <x:v>United States</x:v>
      </x:c>
      <x:c r="D182" s="53" t="str">
        <x:v>SG</x:v>
      </x:c>
      <x:c r="E182" s="53" t="str">
        <x:v>SGP</x:v>
      </x:c>
      <x:c r="F182" s="53" t="str">
        <x:v>Singapore</x:v>
      </x:c>
      <x:c r="G182" s="53" t="n">
        <x:v>2017</x:v>
      </x:c>
      <x:c r="H182" s="53" t="str">
        <x:v>Fund Holdings</x:v>
      </x:c>
      <x:c r="I182" s="53" t="str">
        <x:v>E+BC+BG+BSF</x:v>
      </x:c>
      <x:c r="J182" s="53" t="n">
        <x:v>4</x:v>
      </x:c>
      <x:c r="K182" s="53" t="n">
        <x:v>0</x:v>
      </x:c>
      <x:c r="L182" s="53" t="n">
        <x:v>0</x:v>
      </x:c>
      <x:c r="M182" s="54" t="n">
        <x:v>164540</x:v>
      </x:c>
      <x:c r="N182" s="54" t="n">
        <x:v>65125.42293548584</x:v>
      </x:c>
      <x:c r="O182" s="54" t="n">
        <x:v>46370.69637298584</x:v>
      </x:c>
      <x:c r="P182" s="54" t="n">
        <x:v>18754.7265625</x:v>
      </x:c>
      <x:c r="Q182" s="55" t="b">
        <x:v>0</x:v>
      </x:c>
      <x:c r="R182" s="56" t="str">
        <x:v>none</x:v>
      </x:c>
      <x:c r="S182" s="57" t="str">
        <x:v>GCAP estimated restatement; Position_Residency may include GCAP interpolation/extrapolation per documentation</x:v>
      </x:c>
      <x:c r="T182" s="57" t="str">
        <x:v>diagonal set to zero + within-sample row normalization</x:v>
      </x:c>
      <x:c r="U182" s="57" t="str">
        <x:v>GCAP Restated Bilateral External Portfolios v1.8</x:v>
      </x:c>
      <x:c r="V182" s="57" t="str">
        <x:v>US Treasury TIC</x:v>
      </x:c>
      <x:c r="W182" s="58" t="str">
        <x:v>https://globalcapitalallocation.s3.us-east-2.amazonaws.com/Restated_Bilateral_External_Portfolios_ReadMe.pdf</x:v>
      </x:c>
      <x:c r="X182" s="59" t="n">
        <x:v>0.007999792080744531</x:v>
      </x:c>
      <x:c r="Y182" s="59" t="n">
        <x:v>0.020732954157414708</x:v>
      </x:c>
      <x:c r="Z182" s="59" t="n">
        <x:v>0.007816858667680247</x:v>
      </x:c>
      <x:c r="AA182" s="59" t="n">
        <x:v>0.008491104622849828</x:v>
      </x:c>
    </x:row>
    <x:row r="183">
      <x:c r="A183" s="53" t="str">
        <x:v>US</x:v>
      </x:c>
      <x:c r="B183" s="53" t="str">
        <x:v>USA</x:v>
      </x:c>
      <x:c r="C183" s="53" t="str">
        <x:v>United States</x:v>
      </x:c>
      <x:c r="D183" s="53" t="str">
        <x:v>TR</x:v>
      </x:c>
      <x:c r="E183" s="53" t="str">
        <x:v>TUR</x:v>
      </x:c>
      <x:c r="F183" s="53" t="str">
        <x:v>Turkey</x:v>
      </x:c>
      <x:c r="G183" s="53" t="n">
        <x:v>2017</x:v>
      </x:c>
      <x:c r="H183" s="53" t="str">
        <x:v>Fund Holdings</x:v>
      </x:c>
      <x:c r="I183" s="53" t="str">
        <x:v>E+BC+BG+BSF</x:v>
      </x:c>
      <x:c r="J183" s="53" t="n">
        <x:v>4</x:v>
      </x:c>
      <x:c r="K183" s="53" t="n">
        <x:v>0</x:v>
      </x:c>
      <x:c r="L183" s="53" t="n">
        <x:v>0</x:v>
      </x:c>
      <x:c r="M183" s="54" t="n">
        <x:v>39288</x:v>
      </x:c>
      <x:c r="N183" s="54" t="n">
        <x:v>38538.441232681274</x:v>
      </x:c>
      <x:c r="O183" s="54" t="n">
        <x:v>21599.476877212524</x:v>
      </x:c>
      <x:c r="P183" s="54" t="n">
        <x:v>16938.96435546875</x:v>
      </x:c>
      <x:c r="Q183" s="55" t="b">
        <x:v>0</x:v>
      </x:c>
      <x:c r="R183" s="56" t="str">
        <x:v>none</x:v>
      </x:c>
      <x:c r="S183" s="57" t="str">
        <x:v>GCAP estimated restatement; Position_Residency may include GCAP interpolation/extrapolation per documentation</x:v>
      </x:c>
      <x:c r="T183" s="57" t="str">
        <x:v>diagonal set to zero + within-sample row normalization</x:v>
      </x:c>
      <x:c r="U183" s="57" t="str">
        <x:v>GCAP Restated Bilateral External Portfolios v1.8</x:v>
      </x:c>
      <x:c r="V183" s="57" t="str">
        <x:v>US Treasury TIC</x:v>
      </x:c>
      <x:c r="W183" s="58" t="str">
        <x:v>https://globalcapitalallocation.s3.us-east-2.amazonaws.com/Restated_Bilateral_External_Portfolios_ReadMe.pdf</x:v>
      </x:c>
      <x:c r="X183" s="59" t="n">
        <x:v>0.004733934968573609</x:v>
      </x:c>
      <x:c r="Y183" s="59" t="n">
        <x:v>0.004950506277722797</x:v>
      </x:c>
      <x:c r="Z183" s="59" t="n">
        <x:v>0.0036410938642568863</x:v>
      </x:c>
      <x:c r="AA183" s="59" t="n">
        <x:v>0.0076690277549872525</x:v>
      </x:c>
    </x:row>
    <x:row r="184">
      <x:c r="A184" s="53" t="str">
        <x:v>US</x:v>
      </x:c>
      <x:c r="B184" s="53" t="str">
        <x:v>USA</x:v>
      </x:c>
      <x:c r="C184" s="53" t="str">
        <x:v>United States</x:v>
      </x:c>
      <x:c r="D184" s="53" t="str">
        <x:v>US</x:v>
      </x:c>
      <x:c r="E184" s="53" t="str">
        <x:v>USA</x:v>
      </x:c>
      <x:c r="F184" s="53" t="str">
        <x:v>United States</x:v>
      </x:c>
      <x:c r="G184" s="53" t="n">
        <x:v>2017</x:v>
      </x:c>
      <x:c r="H184" s="53" t="str">
        <x:v>Fund Holdings</x:v>
      </x:c>
      <x:c r="I184" s="53" t="str">
        <x:v>E+BC+BG+BSF</x:v>
      </x:c>
      <x:c r="J184" s="53" t="n">
        <x:v>4</x:v>
      </x:c>
      <x:c r="K184" s="53" t="n">
        <x:v>0</x:v>
      </x:c>
      <x:c r="L184" s="53" t="n">
        <x:v>0</x:v>
      </x:c>
      <x:c r="M184" s="54" t="n">
        <x:v>34418417.75</x:v>
      </x:c>
      <x:c r="N184" s="54" t="n">
        <x:v>35689786.09705141</x:v>
      </x:c>
      <x:c r="O184" s="54" t="n">
        <x:v>20557592.23997712</x:v>
      </x:c>
      <x:c r="P184" s="54" t="n">
        <x:v>15132193.85707429</x:v>
      </x:c>
      <x:c r="Q184" s="55" t="b">
        <x:v>1</x:v>
      </x:c>
      <x:c r="R184" s="56" t="str">
        <x:v>none</x:v>
      </x:c>
      <x:c r="S184" s="57" t="str">
        <x:v>GCAP estimated restatement; Position_Residency may include GCAP interpolation/extrapolation per documentation</x:v>
      </x:c>
      <x:c r="T184" s="57" t="str">
        <x:v>EA issuer aggregation + diagonal set to zero + within-sample row normalization</x:v>
      </x:c>
      <x:c r="U184" s="57" t="str">
        <x:v>GCAP Restated Bilateral External Portfolios v1.8</x:v>
      </x:c>
      <x:c r="V184" s="57" t="str">
        <x:v>US Treasury TIC</x:v>
      </x:c>
      <x:c r="W184" s="58" t="str">
        <x:v>https://globalcapitalallocation.s3.us-east-2.amazonaws.com/Restated_Bilateral_External_Portfolios_ReadMe.pdf</x:v>
      </x:c>
      <x:c r="X184" s="59" t="n">
        <x:v>0</x:v>
      </x:c>
      <x:c r="Y184" s="59" t="n">
        <x:v>0</x:v>
      </x:c>
      <x:c r="Z184" s="59" t="n">
        <x:v>0</x:v>
      </x:c>
      <x:c r="AA184" s="59" t="n">
        <x:v>0</x:v>
      </x:c>
    </x:row>
    <x:row r="185">
      <x:c r="A185" s="53" t="str">
        <x:v>US</x:v>
      </x:c>
      <x:c r="B185" s="53" t="str">
        <x:v>USA</x:v>
      </x:c>
      <x:c r="C185" s="53" t="str">
        <x:v>United States</x:v>
      </x:c>
      <x:c r="D185" s="53" t="str">
        <x:v>ZA</x:v>
      </x:c>
      <x:c r="E185" s="53" t="str">
        <x:v>ZAF</x:v>
      </x:c>
      <x:c r="F185" s="53" t="str">
        <x:v>South Africa</x:v>
      </x:c>
      <x:c r="G185" s="53" t="n">
        <x:v>2017</x:v>
      </x:c>
      <x:c r="H185" s="53" t="str">
        <x:v>Fund Holdings</x:v>
      </x:c>
      <x:c r="I185" s="53" t="str">
        <x:v>E+BC+BG+BSF</x:v>
      </x:c>
      <x:c r="J185" s="53" t="n">
        <x:v>4</x:v>
      </x:c>
      <x:c r="K185" s="53" t="n">
        <x:v>0</x:v>
      </x:c>
      <x:c r="L185" s="53" t="n">
        <x:v>0</x:v>
      </x:c>
      <x:c r="M185" s="54" t="n">
        <x:v>114025</x:v>
      </x:c>
      <x:c r="N185" s="54" t="n">
        <x:v>119949.88710665889</x:v>
      </x:c>
      <x:c r="O185" s="54" t="n">
        <x:v>100520.57961631007</x:v>
      </x:c>
      <x:c r="P185" s="54" t="n">
        <x:v>19429.307490348816</x:v>
      </x:c>
      <x:c r="Q185" s="55" t="b">
        <x:v>0</x:v>
      </x:c>
      <x:c r="R185" s="56" t="str">
        <x:v>none</x:v>
      </x:c>
      <x:c r="S185" s="57" t="str">
        <x:v>GCAP estimated restatement; Position_Residency may include GCAP interpolation/extrapolation per documentation</x:v>
      </x:c>
      <x:c r="T185" s="57" t="str">
        <x:v>diagonal set to zero + within-sample row normalization</x:v>
      </x:c>
      <x:c r="U185" s="57" t="str">
        <x:v>GCAP Restated Bilateral External Portfolios v1.8</x:v>
      </x:c>
      <x:c r="V185" s="57" t="str">
        <x:v>US Treasury TIC</x:v>
      </x:c>
      <x:c r="W185" s="58" t="str">
        <x:v>https://globalcapitalallocation.s3.us-east-2.amazonaws.com/Restated_Bilateral_External_Portfolios_ReadMe.pdf</x:v>
      </x:c>
      <x:c r="X185" s="59" t="n">
        <x:v>0.014734248373521013</x:v>
      </x:c>
      <x:c r="Y185" s="59" t="n">
        <x:v>0.014367783504310273</x:v>
      </x:c>
      <x:c r="Z185" s="59" t="n">
        <x:v>0.01694508009398265</x:v>
      </x:c>
      <x:c r="AA185" s="59" t="n">
        <x:v>0.008796517619187316</x:v>
      </x:c>
    </x:row>
    <x:row r="186">
      <x:c r="A186" s="53" t="str">
        <x:v>ZA</x:v>
      </x:c>
      <x:c r="B186" s="53" t="str">
        <x:v>ZAF</x:v>
      </x:c>
      <x:c r="C186" s="53" t="str">
        <x:v>South Africa</x:v>
      </x:c>
      <x:c r="D186" s="53" t="str">
        <x:v>AU</x:v>
      </x:c>
      <x:c r="E186" s="53" t="str">
        <x:v>AUS</x:v>
      </x:c>
      <x:c r="F186" s="53" t="str">
        <x:v>Australia</x:v>
      </x:c>
      <x:c r="G186" s="53" t="n">
        <x:v>2017</x:v>
      </x:c>
      <x:c r="H186" s="53" t="str">
        <x:v>Issuance</x:v>
      </x:c>
      <x:c r="I186" s="53" t="str">
        <x:v>EF+B</x:v>
      </x:c>
      <x:c r="J186" s="53" t="n">
        <x:v>2</x:v>
      </x:c>
      <x:c r="K186" s="53" t="n">
        <x:v>0</x:v>
      </x:c>
      <x:c r="L186" s="53" t="n">
        <x:v>0</x:v>
      </x:c>
      <x:c r="M186" s="54" t="n">
        <x:v>987.473199999999</x:v>
      </x:c>
      <x:c r="N186" s="54" t="n">
        <x:v>1709.833657853509</x:v>
      </x:c>
      <x:c r="O186" s="54" t="n">
        <x:v>1679.5544724448118</x:v>
      </x:c>
      <x:c r="P186" s="54" t="n">
        <x:v>30.27918540869723</x:v>
      </x:c>
      <x:c r="Q186" s="55" t="b">
        <x:v>0</x:v>
      </x:c>
      <x:c r="R186" s="56" t="str">
        <x:v>none</x:v>
      </x:c>
      <x:c r="S186" s="57" t="str">
        <x:v>GCAP estimated restatement; Position_Residency may include GCAP interpolation/extrapolation per documentation</x:v>
      </x:c>
      <x:c r="T186" s="57" t="str">
        <x:v>diagonal set to zero + within-sample row normalization</x:v>
      </x:c>
      <x:c r="U186" s="57" t="str">
        <x:v>GCAP Restated Bilateral External Portfolios v1.8</x:v>
      </x:c>
      <x:c r="V186" s="57" t="str">
        <x:v>IMF CPIS</x:v>
      </x:c>
      <x:c r="W186" s="58" t="str">
        <x:v>https://globalcapitalallocation.s3.us-east-2.amazonaws.com/Restated_Bilateral_External_Portfolios_ReadMe.pdf</x:v>
      </x:c>
      <x:c r="X186" s="59" t="n">
        <x:v>0.010144076076203861</x:v>
      </x:c>
      <x:c r="Y186" s="59" t="n">
        <x:v>0.006185640425838274</x:v>
      </x:c>
      <x:c r="Z186" s="59" t="n">
        <x:v>0.010376462900541589</x:v>
      </x:c>
      <x:c r="AA186" s="59" t="n">
        <x:v>0.004524043447162957</x:v>
      </x:c>
    </x:row>
    <x:row r="187">
      <x:c r="A187" s="53" t="str">
        <x:v>ZA</x:v>
      </x:c>
      <x:c r="B187" s="53" t="str">
        <x:v>ZAF</x:v>
      </x:c>
      <x:c r="C187" s="53" t="str">
        <x:v>South Africa</x:v>
      </x:c>
      <x:c r="D187" s="53" t="str">
        <x:v>BR</x:v>
      </x:c>
      <x:c r="E187" s="53" t="str">
        <x:v>BRA</x:v>
      </x:c>
      <x:c r="F187" s="53" t="str">
        <x:v>Brazil</x:v>
      </x:c>
      <x:c r="G187" s="53" t="n">
        <x:v>2017</x:v>
      </x:c>
      <x:c r="H187" s="53" t="str">
        <x:v>Issuance</x:v>
      </x:c>
      <x:c r="I187" s="53" t="str">
        <x:v>EF+B</x:v>
      </x:c>
      <x:c r="J187" s="53" t="n">
        <x:v>2</x:v>
      </x:c>
      <x:c r="K187" s="53" t="n">
        <x:v>0</x:v>
      </x:c>
      <x:c r="L187" s="53" t="n">
        <x:v>0</x:v>
      </x:c>
      <x:c r="M187" s="54" t="n">
        <x:v>911.632399999999</x:v>
      </x:c>
      <x:c r="N187" s="54" t="n">
        <x:v>756.0157267974573</x:v>
      </x:c>
      <x:c r="O187" s="54" t="n">
        <x:v>737.4317519755568</x:v>
      </x:c>
      <x:c r="P187" s="54" t="n">
        <x:v>18.583974821900483</x:v>
      </x:c>
      <x:c r="Q187" s="55" t="b">
        <x:v>0</x:v>
      </x:c>
      <x:c r="R187" s="56" t="str">
        <x:v>none</x:v>
      </x:c>
      <x:c r="S187" s="57" t="str">
        <x:v>GCAP estimated restatement; Position_Residency may include GCAP interpolation/extrapolation per documentation</x:v>
      </x:c>
      <x:c r="T187" s="57" t="str">
        <x:v>diagonal set to zero + within-sample row normalization</x:v>
      </x:c>
      <x:c r="U187" s="57" t="str">
        <x:v>GCAP Restated Bilateral External Portfolios v1.8</x:v>
      </x:c>
      <x:c r="V187" s="57" t="str">
        <x:v>IMF CPIS</x:v>
      </x:c>
      <x:c r="W187" s="58" t="str">
        <x:v>https://globalcapitalallocation.s3.us-east-2.amazonaws.com/Restated_Bilateral_External_Portfolios_ReadMe.pdf</x:v>
      </x:c>
      <x:c r="X187" s="59" t="n">
        <x:v>0.004485279028293063</x:v>
      </x:c>
      <x:c r="Y187" s="59" t="n">
        <x:v>0.005710565336805058</x:v>
      </x:c>
      <x:c r="Z187" s="59" t="n">
        <x:v>0.00455593036224503</x:v>
      </x:c>
      <x:c r="AA187" s="59" t="n">
        <x:v>0.002776650308799625</x:v>
      </x:c>
    </x:row>
    <x:row r="188">
      <x:c r="A188" s="53" t="str">
        <x:v>ZA</x:v>
      </x:c>
      <x:c r="B188" s="53" t="str">
        <x:v>ZAF</x:v>
      </x:c>
      <x:c r="C188" s="53" t="str">
        <x:v>South Africa</x:v>
      </x:c>
      <x:c r="D188" s="53" t="str">
        <x:v>CA</x:v>
      </x:c>
      <x:c r="E188" s="53" t="str">
        <x:v>CAN</x:v>
      </x:c>
      <x:c r="F188" s="53" t="str">
        <x:v>Canada</x:v>
      </x:c>
      <x:c r="G188" s="53" t="n">
        <x:v>2017</x:v>
      </x:c>
      <x:c r="H188" s="53" t="str">
        <x:v>Issuance</x:v>
      </x:c>
      <x:c r="I188" s="53" t="str">
        <x:v>EF+B</x:v>
      </x:c>
      <x:c r="J188" s="53" t="n">
        <x:v>2</x:v>
      </x:c>
      <x:c r="K188" s="53" t="n">
        <x:v>0</x:v>
      </x:c>
      <x:c r="L188" s="53" t="n">
        <x:v>0</x:v>
      </x:c>
      <x:c r="M188" s="54" t="n">
        <x:v>2383.7884</x:v>
      </x:c>
      <x:c r="N188" s="54" t="n">
        <x:v>2677.1220546191616</x:v>
      </x:c>
      <x:c r="O188" s="54" t="n">
        <x:v>2649.0169896504376</x:v>
      </x:c>
      <x:c r="P188" s="54" t="n">
        <x:v>28.105064968724037</x:v>
      </x:c>
      <x:c r="Q188" s="55" t="b">
        <x:v>0</x:v>
      </x:c>
      <x:c r="R188" s="56" t="str">
        <x:v>none</x:v>
      </x:c>
      <x:c r="S188" s="57" t="str">
        <x:v>GCAP estimated restatement; Position_Residency may include GCAP interpolation/extrapolation per documentation</x:v>
      </x:c>
      <x:c r="T188" s="57" t="str">
        <x:v>diagonal set to zero + within-sample row normalization</x:v>
      </x:c>
      <x:c r="U188" s="57" t="str">
        <x:v>GCAP Restated Bilateral External Portfolios v1.8</x:v>
      </x:c>
      <x:c r="V188" s="57" t="str">
        <x:v>IMF CPIS</x:v>
      </x:c>
      <x:c r="W188" s="58" t="str">
        <x:v>https://globalcapitalallocation.s3.us-east-2.amazonaws.com/Restated_Bilateral_External_Portfolios_ReadMe.pdf</x:v>
      </x:c>
      <x:c r="X188" s="59" t="n">
        <x:v>0.01588279050573389</x:v>
      </x:c>
      <x:c r="Y188" s="59" t="n">
        <x:v>0.014932311979387748</x:v>
      </x:c>
      <x:c r="Z188" s="59" t="n">
        <x:v>0.01636590355774563</x:v>
      </x:c>
      <x:c r="AA188" s="59" t="n">
        <x:v>0.004199205932644532</x:v>
      </x:c>
    </x:row>
    <x:row r="189">
      <x:c r="A189" s="53" t="str">
        <x:v>ZA</x:v>
      </x:c>
      <x:c r="B189" s="53" t="str">
        <x:v>ZAF</x:v>
      </x:c>
      <x:c r="C189" s="53" t="str">
        <x:v>South Africa</x:v>
      </x:c>
      <x:c r="D189" s="53" t="str">
        <x:v>CH</x:v>
      </x:c>
      <x:c r="E189" s="53" t="str">
        <x:v>CHE</x:v>
      </x:c>
      <x:c r="F189" s="53" t="str">
        <x:v>Switzerland</x:v>
      </x:c>
      <x:c r="G189" s="53" t="n">
        <x:v>2017</x:v>
      </x:c>
      <x:c r="H189" s="53" t="str">
        <x:v>Issuance</x:v>
      </x:c>
      <x:c r="I189" s="53" t="str">
        <x:v>EF+B</x:v>
      </x:c>
      <x:c r="J189" s="53" t="n">
        <x:v>2</x:v>
      </x:c>
      <x:c r="K189" s="53" t="n">
        <x:v>0</x:v>
      </x:c>
      <x:c r="L189" s="53" t="n">
        <x:v>0</x:v>
      </x:c>
      <x:c r="M189" s="54" t="n">
        <x:v>544.6084</x:v>
      </x:c>
      <x:c r="N189" s="54" t="n">
        <x:v>1508.6505238694954</x:v>
      </x:c>
      <x:c r="O189" s="54" t="n">
        <x:v>1354.0446209824004</x:v>
      </x:c>
      <x:c r="P189" s="54" t="n">
        <x:v>154.605902887095</x:v>
      </x:c>
      <x:c r="Q189" s="55" t="b">
        <x:v>0</x:v>
      </x:c>
      <x:c r="R189" s="56" t="str">
        <x:v>none</x:v>
      </x:c>
      <x:c r="S189" s="57" t="str">
        <x:v>GCAP estimated restatement; Position_Residency may include GCAP interpolation/extrapolation per documentation</x:v>
      </x:c>
      <x:c r="T189" s="57" t="str">
        <x:v>diagonal set to zero + within-sample row normalization</x:v>
      </x:c>
      <x:c r="U189" s="57" t="str">
        <x:v>GCAP Restated Bilateral External Portfolios v1.8</x:v>
      </x:c>
      <x:c r="V189" s="57" t="str">
        <x:v>IMF CPIS</x:v>
      </x:c>
      <x:c r="W189" s="58" t="str">
        <x:v>https://globalcapitalallocation.s3.us-east-2.amazonaws.com/Restated_Bilateral_External_Portfolios_ReadMe.pdf</x:v>
      </x:c>
      <x:c r="X189" s="59" t="n">
        <x:v>0.008950499726241871</x:v>
      </x:c>
      <x:c r="Y189" s="59" t="n">
        <x:v>0.00341148674747943</x:v>
      </x:c>
      <x:c r="Z189" s="59" t="n">
        <x:v>0.00836542905027062</x:v>
      </x:c>
      <x:c r="AA189" s="59" t="n">
        <x:v>0.02309982294464798</x:v>
      </x:c>
    </x:row>
    <x:row r="190">
      <x:c r="A190" s="53" t="str">
        <x:v>ZA</x:v>
      </x:c>
      <x:c r="B190" s="53" t="str">
        <x:v>ZAF</x:v>
      </x:c>
      <x:c r="C190" s="53" t="str">
        <x:v>South Africa</x:v>
      </x:c>
      <x:c r="D190" s="53" t="str">
        <x:v>CN</x:v>
      </x:c>
      <x:c r="E190" s="53" t="str">
        <x:v>CHN</x:v>
      </x:c>
      <x:c r="F190" s="53" t="str">
        <x:v>China</x:v>
      </x:c>
      <x:c r="G190" s="53" t="n">
        <x:v>2017</x:v>
      </x:c>
      <x:c r="H190" s="53" t="str">
        <x:v>Issuance</x:v>
      </x:c>
      <x:c r="I190" s="53" t="str">
        <x:v>EF+B</x:v>
      </x:c>
      <x:c r="J190" s="53" t="n">
        <x:v>2</x:v>
      </x:c>
      <x:c r="K190" s="53" t="n">
        <x:v>0</x:v>
      </x:c>
      <x:c r="L190" s="53" t="n">
        <x:v>0</x:v>
      </x:c>
      <x:c r="M190" s="54" t="n">
        <x:v>1062.1772</x:v>
      </x:c>
      <x:c r="N190" s="54" t="n">
        <x:v>3633.2247661891306</x:v>
      </x:c>
      <x:c r="O190" s="54" t="n">
        <x:v>3612.965094557032</x:v>
      </x:c>
      <x:c r="P190" s="54" t="n">
        <x:v>20.259671632098616</x:v>
      </x:c>
      <x:c r="Q190" s="55" t="b">
        <x:v>0</x:v>
      </x:c>
      <x:c r="R190" s="56" t="str">
        <x:v>none</x:v>
      </x:c>
      <x:c r="S190" s="57" t="str">
        <x:v>GCAP estimated restatement; Position_Residency may include GCAP interpolation/extrapolation per documentation</x:v>
      </x:c>
      <x:c r="T190" s="57" t="str">
        <x:v>diagonal set to zero + within-sample row normalization</x:v>
      </x:c>
      <x:c r="U190" s="57" t="str">
        <x:v>GCAP Restated Bilateral External Portfolios v1.8</x:v>
      </x:c>
      <x:c r="V190" s="57" t="str">
        <x:v>IMF CPIS</x:v>
      </x:c>
      <x:c r="W190" s="58" t="str">
        <x:v>https://globalcapitalallocation.s3.us-east-2.amazonaws.com/Restated_Bilateral_External_Portfolios_ReadMe.pdf</x:v>
      </x:c>
      <x:c r="X190" s="59" t="n">
        <x:v>0.02155514266600556</x:v>
      </x:c>
      <x:c r="Y190" s="59" t="n">
        <x:v>0.006653594474993057</x:v>
      </x:c>
      <x:c r="Z190" s="59" t="n">
        <x:v>0.022321275599981854</x:v>
      </x:c>
      <x:c r="AA190" s="59" t="n">
        <x:v>0.0030270178491176424</x:v>
      </x:c>
    </x:row>
    <x:row r="191">
      <x:c r="A191" s="53" t="str">
        <x:v>ZA</x:v>
      </x:c>
      <x:c r="B191" s="53" t="str">
        <x:v>ZAF</x:v>
      </x:c>
      <x:c r="C191" s="53" t="str">
        <x:v>South Africa</x:v>
      </x:c>
      <x:c r="D191" s="53" t="str">
        <x:v>EA</x:v>
      </x:c>
      <x:c r="E191" s="53" t="str">
        <x:v>EMU</x:v>
      </x:c>
      <x:c r="F191" s="53" t="str">
        <x:v>European Monetary Union</x:v>
      </x:c>
      <x:c r="G191" s="53" t="n">
        <x:v>2017</x:v>
      </x:c>
      <x:c r="H191" s="53" t="str">
        <x:v>Issuance</x:v>
      </x:c>
      <x:c r="I191" s="53" t="str">
        <x:v>EF+B</x:v>
      </x:c>
      <x:c r="J191" s="53" t="n">
        <x:v>38</x:v>
      </x:c>
      <x:c r="K191" s="53" t="n">
        <x:v>0</x:v>
      </x:c>
      <x:c r="L191" s="53" t="n">
        <x:v>0</x:v>
      </x:c>
      <x:c r="M191" s="54" t="n">
        <x:v>51777.66712911071</x:v>
      </x:c>
      <x:c r="N191" s="54" t="n">
        <x:v>53192.32238281656</x:v>
      </x:c>
      <x:c r="O191" s="54" t="n">
        <x:v>50835.497810835135</x:v>
      </x:c>
      <x:c r="P191" s="54" t="n">
        <x:v>2356.824571981423</x:v>
      </x:c>
      <x:c r="Q191" s="55" t="b">
        <x:v>0</x:v>
      </x:c>
      <x:c r="R191" s="56" t="str">
        <x:v>none</x:v>
      </x:c>
      <x:c r="S191" s="57" t="str">
        <x:v>GCAP estimated restatement; Position_Residency may include GCAP interpolation/extrapolation per documentation</x:v>
      </x:c>
      <x:c r="T191" s="57" t="str">
        <x:v>EA issuer aggregation + diagonal set to zero + within-sample row normalization</x:v>
      </x:c>
      <x:c r="U191" s="57" t="str">
        <x:v>GCAP Restated Bilateral External Portfolios v1.8</x:v>
      </x:c>
      <x:c r="V191" s="57" t="str">
        <x:v>IMF CPIS</x:v>
      </x:c>
      <x:c r="W191" s="58" t="str">
        <x:v>https://globalcapitalallocation.s3.us-east-2.amazonaws.com/Restated_Bilateral_External_Portfolios_ReadMe.pdf</x:v>
      </x:c>
      <x:c r="X191" s="59" t="n">
        <x:v>0.3155786309638092</x:v>
      </x:c>
      <x:c r="Y191" s="59" t="n">
        <x:v>0.32434098560793867</x:v>
      </x:c>
      <x:c r="Z191" s="59" t="n">
        <x:v>0.31406701343652116</x:v>
      </x:c>
      <x:c r="AA191" s="59" t="n">
        <x:v>0.35213552204487625</x:v>
      </x:c>
    </x:row>
    <x:row r="192">
      <x:c r="A192" s="53" t="str">
        <x:v>ZA</x:v>
      </x:c>
      <x:c r="B192" s="53" t="str">
        <x:v>ZAF</x:v>
      </x:c>
      <x:c r="C192" s="53" t="str">
        <x:v>South Africa</x:v>
      </x:c>
      <x:c r="D192" s="53" t="str">
        <x:v>UK</x:v>
      </x:c>
      <x:c r="E192" s="53" t="str">
        <x:v>GBR</x:v>
      </x:c>
      <x:c r="F192" s="53" t="str">
        <x:v>United Kingdom</x:v>
      </x:c>
      <x:c r="G192" s="53" t="n">
        <x:v>2017</x:v>
      </x:c>
      <x:c r="H192" s="53" t="str">
        <x:v>Issuance</x:v>
      </x:c>
      <x:c r="I192" s="53" t="str">
        <x:v>EF+B</x:v>
      </x:c>
      <x:c r="J192" s="53" t="n">
        <x:v>2</x:v>
      </x:c>
      <x:c r="K192" s="53" t="n">
        <x:v>0</x:v>
      </x:c>
      <x:c r="L192" s="53" t="n">
        <x:v>0</x:v>
      </x:c>
      <x:c r="M192" s="54" t="n">
        <x:v>74751.82680000001</x:v>
      </x:c>
      <x:c r="N192" s="54" t="n">
        <x:v>67068.8772144927</x:v>
      </x:c>
      <x:c r="O192" s="54" t="n">
        <x:v>65735.21345474012</x:v>
      </x:c>
      <x:c r="P192" s="54" t="n">
        <x:v>1333.663759752583</x:v>
      </x:c>
      <x:c r="Q192" s="55" t="b">
        <x:v>0</x:v>
      </x:c>
      <x:c r="R192" s="56" t="str">
        <x:v>none</x:v>
      </x:c>
      <x:c r="S192" s="57" t="str">
        <x:v>GCAP estimated restatement; Position_Residency may include GCAP interpolation/extrapolation per documentation</x:v>
      </x:c>
      <x:c r="T192" s="57" t="str">
        <x:v>diagonal set to zero + within-sample row normalization</x:v>
      </x:c>
      <x:c r="U192" s="57" t="str">
        <x:v>GCAP Restated Bilateral External Portfolios v1.8</x:v>
      </x:c>
      <x:c r="V192" s="57" t="str">
        <x:v>IMF CPIS</x:v>
      </x:c>
      <x:c r="W192" s="58" t="str">
        <x:v>https://globalcapitalallocation.s3.us-east-2.amazonaws.com/Restated_Bilateral_External_Portfolios_ReadMe.pdf</x:v>
      </x:c>
      <x:c r="X192" s="59" t="n">
        <x:v>0.397905252177273</x:v>
      </x:c>
      <x:c r="Y192" s="59" t="n">
        <x:v>0.46825364147537524</x:v>
      </x:c>
      <x:c r="Z192" s="59" t="n">
        <x:v>0.4061190124303671</x:v>
      </x:c>
      <x:c r="AA192" s="59" t="n">
        <x:v>0.19926403935867906</x:v>
      </x:c>
    </x:row>
    <x:row r="193">
      <x:c r="A193" s="53" t="str">
        <x:v>ZA</x:v>
      </x:c>
      <x:c r="B193" s="53" t="str">
        <x:v>ZAF</x:v>
      </x:c>
      <x:c r="C193" s="53" t="str">
        <x:v>South Africa</x:v>
      </x:c>
      <x:c r="D193" s="53" t="str">
        <x:v>JP</x:v>
      </x:c>
      <x:c r="E193" s="53" t="str">
        <x:v>JPN</x:v>
      </x:c>
      <x:c r="F193" s="53" t="str">
        <x:v>Japan</x:v>
      </x:c>
      <x:c r="G193" s="53" t="n">
        <x:v>2017</x:v>
      </x:c>
      <x:c r="H193" s="53" t="str">
        <x:v>Issuance</x:v>
      </x:c>
      <x:c r="I193" s="53" t="str">
        <x:v>EF+B</x:v>
      </x:c>
      <x:c r="J193" s="53" t="n">
        <x:v>2</x:v>
      </x:c>
      <x:c r="K193" s="53" t="n">
        <x:v>0</x:v>
      </x:c>
      <x:c r="L193" s="53" t="n">
        <x:v>0</x:v>
      </x:c>
      <x:c r="M193" s="54" t="n">
        <x:v>738.4328</x:v>
      </x:c>
      <x:c r="N193" s="54" t="n">
        <x:v>1235.1817900239548</x:v>
      </x:c>
      <x:c r="O193" s="54" t="n">
        <x:v>1187.2949852828751</x:v>
      </x:c>
      <x:c r="P193" s="54" t="n">
        <x:v>47.886804741079686</x:v>
      </x:c>
      <x:c r="Q193" s="55" t="b">
        <x:v>0</x:v>
      </x:c>
      <x:c r="R193" s="56" t="str">
        <x:v>none</x:v>
      </x:c>
      <x:c r="S193" s="57" t="str">
        <x:v>GCAP estimated restatement; Position_Residency may include GCAP interpolation/extrapolation per documentation</x:v>
      </x:c>
      <x:c r="T193" s="57" t="str">
        <x:v>diagonal set to zero + within-sample row normalization</x:v>
      </x:c>
      <x:c r="U193" s="57" t="str">
        <x:v>GCAP Restated Bilateral External Portfolios v1.8</x:v>
      </x:c>
      <x:c r="V193" s="57" t="str">
        <x:v>IMF CPIS</x:v>
      </x:c>
      <x:c r="W193" s="58" t="str">
        <x:v>https://globalcapitalallocation.s3.us-east-2.amazonaws.com/Restated_Bilateral_External_Portfolios_ReadMe.pdf</x:v>
      </x:c>
      <x:c r="X193" s="59" t="n">
        <x:v>0.007328068428407412</x:v>
      </x:c>
      <x:c r="Y193" s="59" t="n">
        <x:v>0.00462562404675383</x:v>
      </x:c>
      <x:c r="Z193" s="59" t="n">
        <x:v>0.007335232389845363</x:v>
      </x:c>
      <x:c r="AA193" s="59" t="n">
        <x:v>0.007154815503465509</x:v>
      </x:c>
    </x:row>
    <x:row r="194">
      <x:c r="A194" s="53" t="str">
        <x:v>ZA</x:v>
      </x:c>
      <x:c r="B194" s="53" t="str">
        <x:v>ZAF</x:v>
      </x:c>
      <x:c r="C194" s="53" t="str">
        <x:v>South Africa</x:v>
      </x:c>
      <x:c r="D194" s="53" t="str">
        <x:v>KR</x:v>
      </x:c>
      <x:c r="E194" s="53" t="str">
        <x:v>KOR</x:v>
      </x:c>
      <x:c r="F194" s="53" t="str">
        <x:v>Korea, Republic of</x:v>
      </x:c>
      <x:c r="G194" s="53" t="n">
        <x:v>2017</x:v>
      </x:c>
      <x:c r="H194" s="53" t="str">
        <x:v>Issuance</x:v>
      </x:c>
      <x:c r="I194" s="53" t="str">
        <x:v>EF+B</x:v>
      </x:c>
      <x:c r="J194" s="53" t="n">
        <x:v>2</x:v>
      </x:c>
      <x:c r="K194" s="53" t="n">
        <x:v>0</x:v>
      </x:c>
      <x:c r="L194" s="53" t="n">
        <x:v>0</x:v>
      </x:c>
      <x:c r="M194" s="54" t="n">
        <x:v>39.7068</x:v>
      </x:c>
      <x:c r="N194" s="54" t="n">
        <x:v>45.44253369694343</x:v>
      </x:c>
      <x:c r="O194" s="54" t="n">
        <x:v>42.475658764029504</x:v>
      </x:c>
      <x:c r="P194" s="54" t="n">
        <x:v>2.9668749329139246</x:v>
      </x:c>
      <x:c r="Q194" s="55" t="b">
        <x:v>0</x:v>
      </x:c>
      <x:c r="R194" s="56" t="str">
        <x:v>none</x:v>
      </x:c>
      <x:c r="S194" s="57" t="str">
        <x:v>GCAP estimated restatement; Position_Residency may include GCAP interpolation/extrapolation per documentation</x:v>
      </x:c>
      <x:c r="T194" s="57" t="str">
        <x:v>diagonal set to zero + within-sample row normalization</x:v>
      </x:c>
      <x:c r="U194" s="57" t="str">
        <x:v>GCAP Restated Bilateral External Portfolios v1.8</x:v>
      </x:c>
      <x:c r="V194" s="57" t="str">
        <x:v>IMF CPIS</x:v>
      </x:c>
      <x:c r="W194" s="58" t="str">
        <x:v>https://globalcapitalallocation.s3.us-east-2.amazonaws.com/Restated_Bilateral_External_Portfolios_ReadMe.pdf</x:v>
      </x:c>
      <x:c r="X194" s="59" t="n">
        <x:v>0.0002696007981828755</x:v>
      </x:c>
      <x:c r="Y194" s="59" t="n">
        <x:v>0.00024872775003987495</x:v>
      </x:c>
      <x:c r="Z194" s="59" t="n">
        <x:v>0.000262419054917255</x:v>
      </x:c>
      <x:c r="AA194" s="59" t="n">
        <x:v>0.00044328375805466477</x:v>
      </x:c>
    </x:row>
    <x:row r="195">
      <x:c r="A195" s="53" t="str">
        <x:v>ZA</x:v>
      </x:c>
      <x:c r="B195" s="53" t="str">
        <x:v>ZAF</x:v>
      </x:c>
      <x:c r="C195" s="53" t="str">
        <x:v>South Africa</x:v>
      </x:c>
      <x:c r="D195" s="53" t="str">
        <x:v>NO</x:v>
      </x:c>
      <x:c r="E195" s="53" t="str">
        <x:v>NOR</x:v>
      </x:c>
      <x:c r="F195" s="53" t="str">
        <x:v>Norway</x:v>
      </x:c>
      <x:c r="G195" s="53" t="n">
        <x:v>2017</x:v>
      </x:c>
      <x:c r="H195" s="53" t="str">
        <x:v>Issuance</x:v>
      </x:c>
      <x:c r="I195" s="53" t="str">
        <x:v>EF+B</x:v>
      </x:c>
      <x:c r="J195" s="53" t="n">
        <x:v>2</x:v>
      </x:c>
      <x:c r="K195" s="53" t="n">
        <x:v>0</x:v>
      </x:c>
      <x:c r="L195" s="53" t="n">
        <x:v>0</x:v>
      </x:c>
      <x:c r="M195" s="54" t="n">
        <x:v>34.9972</x:v>
      </x:c>
      <x:c r="N195" s="54" t="n">
        <x:v>194.1630930790925</x:v>
      </x:c>
      <x:c r="O195" s="54" t="n">
        <x:v>190.6576899945212</x:v>
      </x:c>
      <x:c r="P195" s="54" t="n">
        <x:v>3.5054030845712987</x:v>
      </x:c>
      <x:c r="Q195" s="55" t="b">
        <x:v>0</x:v>
      </x:c>
      <x:c r="R195" s="56" t="str">
        <x:v>none</x:v>
      </x:c>
      <x:c r="S195" s="57" t="str">
        <x:v>GCAP estimated restatement; Position_Residency may include GCAP interpolation/extrapolation per documentation</x:v>
      </x:c>
      <x:c r="T195" s="57" t="str">
        <x:v>diagonal set to zero + within-sample row normalization</x:v>
      </x:c>
      <x:c r="U195" s="57" t="str">
        <x:v>GCAP Restated Bilateral External Portfolios v1.8</x:v>
      </x:c>
      <x:c r="V195" s="57" t="str">
        <x:v>IMF CPIS</x:v>
      </x:c>
      <x:c r="W195" s="58" t="str">
        <x:v>https://globalcapitalallocation.s3.us-east-2.amazonaws.com/Restated_Bilateral_External_Portfolios_ReadMe.pdf</x:v>
      </x:c>
      <x:c r="X195" s="59" t="n">
        <x:v>0.001151927954125063</x:v>
      </x:c>
      <x:c r="Y195" s="59" t="n">
        <x:v>0.00021922629911490002</x:v>
      </x:c>
      <x:c r="Z195" s="59" t="n">
        <x:v>0.0011779031162063812</x:v>
      </x:c>
      <x:c r="AA195" s="59" t="n">
        <x:v>0.0005237457890747768</x:v>
      </x:c>
    </x:row>
    <x:row r="196">
      <x:c r="A196" s="53" t="str">
        <x:v>ZA</x:v>
      </x:c>
      <x:c r="B196" s="53" t="str">
        <x:v>ZAF</x:v>
      </x:c>
      <x:c r="C196" s="53" t="str">
        <x:v>South Africa</x:v>
      </x:c>
      <x:c r="D196" s="53" t="str">
        <x:v>SG</x:v>
      </x:c>
      <x:c r="E196" s="53" t="str">
        <x:v>SGP</x:v>
      </x:c>
      <x:c r="F196" s="53" t="str">
        <x:v>Singapore</x:v>
      </x:c>
      <x:c r="G196" s="53" t="n">
        <x:v>2017</x:v>
      </x:c>
      <x:c r="H196" s="53" t="str">
        <x:v>Issuance</x:v>
      </x:c>
      <x:c r="I196" s="53" t="str">
        <x:v>EF+B</x:v>
      </x:c>
      <x:c r="J196" s="53" t="n">
        <x:v>2</x:v>
      </x:c>
      <x:c r="K196" s="53" t="n">
        <x:v>0</x:v>
      </x:c>
      <x:c r="L196" s="53" t="n">
        <x:v>0</x:v>
      </x:c>
      <x:c r="M196" s="54" t="n">
        <x:v>988.447599999999</x:v>
      </x:c>
      <x:c r="N196" s="54" t="n">
        <x:v>2067.2095101061177</x:v>
      </x:c>
      <x:c r="O196" s="54" t="n">
        <x:v>2032.9527775878087</x:v>
      </x:c>
      <x:c r="P196" s="54" t="n">
        <x:v>34.256732518309036</x:v>
      </x:c>
      <x:c r="Q196" s="55" t="b">
        <x:v>0</x:v>
      </x:c>
      <x:c r="R196" s="56" t="str">
        <x:v>none</x:v>
      </x:c>
      <x:c r="S196" s="57" t="str">
        <x:v>GCAP estimated restatement; Position_Residency may include GCAP interpolation/extrapolation per documentation</x:v>
      </x:c>
      <x:c r="T196" s="57" t="str">
        <x:v>diagonal set to zero + within-sample row normalization</x:v>
      </x:c>
      <x:c r="U196" s="57" t="str">
        <x:v>GCAP Restated Bilateral External Portfolios v1.8</x:v>
      </x:c>
      <x:c r="V196" s="57" t="str">
        <x:v>IMF CPIS</x:v>
      </x:c>
      <x:c r="W196" s="58" t="str">
        <x:v>https://globalcapitalallocation.s3.us-east-2.amazonaws.com/Restated_Bilateral_External_Portfolios_ReadMe.pdf</x:v>
      </x:c>
      <x:c r="X196" s="59" t="n">
        <x:v>0.012264310296882214</x:v>
      </x:c>
      <x:c r="Y196" s="59" t="n">
        <x:v>0.006191744174305511</x:v>
      </x:c>
      <x:c r="Z196" s="59" t="n">
        <x:v>0.012559794529609116</x:v>
      </x:c>
      <x:c r="AA196" s="59" t="n">
        <x:v>0.005118332748349131</x:v>
      </x:c>
    </x:row>
    <x:row r="197">
      <x:c r="A197" s="53" t="str">
        <x:v>ZA</x:v>
      </x:c>
      <x:c r="B197" s="53" t="str">
        <x:v>ZAF</x:v>
      </x:c>
      <x:c r="C197" s="53" t="str">
        <x:v>South Africa</x:v>
      </x:c>
      <x:c r="D197" s="53" t="str">
        <x:v>TR</x:v>
      </x:c>
      <x:c r="E197" s="53" t="str">
        <x:v>TUR</x:v>
      </x:c>
      <x:c r="F197" s="53" t="str">
        <x:v>Turkey</x:v>
      </x:c>
      <x:c r="G197" s="53" t="n">
        <x:v>2017</x:v>
      </x:c>
      <x:c r="H197" s="53" t="str">
        <x:v>Issuance</x:v>
      </x:c>
      <x:c r="I197" s="53" t="str">
        <x:v>EF+B</x:v>
      </x:c>
      <x:c r="J197" s="53" t="n">
        <x:v>2</x:v>
      </x:c>
      <x:c r="K197" s="53" t="n">
        <x:v>0</x:v>
      </x:c>
      <x:c r="L197" s="53" t="n">
        <x:v>0</x:v>
      </x:c>
      <x:c r="M197" s="54" t="n">
        <x:v>41.818</x:v>
      </x:c>
      <x:c r="N197" s="54" t="n">
        <x:v>65.95692294090986</x:v>
      </x:c>
      <x:c r="O197" s="54" t="n">
        <x:v>47.93484564125538</x:v>
      </x:c>
      <x:c r="P197" s="54" t="n">
        <x:v>18.022077299654484</x:v>
      </x:c>
      <x:c r="Q197" s="55" t="b">
        <x:v>0</x:v>
      </x:c>
      <x:c r="R197" s="56" t="str">
        <x:v>none</x:v>
      </x:c>
      <x:c r="S197" s="57" t="str">
        <x:v>GCAP estimated restatement; Position_Residency may include GCAP interpolation/extrapolation per documentation</x:v>
      </x:c>
      <x:c r="T197" s="57" t="str">
        <x:v>diagonal set to zero + within-sample row normalization</x:v>
      </x:c>
      <x:c r="U197" s="57" t="str">
        <x:v>GCAP Restated Bilateral External Portfolios v1.8</x:v>
      </x:c>
      <x:c r="V197" s="57" t="str">
        <x:v>IMF CPIS</x:v>
      </x:c>
      <x:c r="W197" s="58" t="str">
        <x:v>https://globalcapitalallocation.s3.us-east-2.amazonaws.com/Restated_Bilateral_External_Portfolios_ReadMe.pdf</x:v>
      </x:c>
      <x:c r="X197" s="59" t="n">
        <x:v>0.00039130826615312096</x:v>
      </x:c>
      <x:c r="Y197" s="59" t="n">
        <x:v>0.00026195253838555334</x:v>
      </x:c>
      <x:c r="Z197" s="59" t="n">
        <x:v>0.00029614648146282014</x:v>
      </x:c>
      <x:c r="AA197" s="59" t="n">
        <x:v>0.0026926966366917896</x:v>
      </x:c>
    </x:row>
    <x:row r="198">
      <x:c r="A198" s="53" t="str">
        <x:v>ZA</x:v>
      </x:c>
      <x:c r="B198" s="53" t="str">
        <x:v>ZAF</x:v>
      </x:c>
      <x:c r="C198" s="53" t="str">
        <x:v>South Africa</x:v>
      </x:c>
      <x:c r="D198" s="53" t="str">
        <x:v>US</x:v>
      </x:c>
      <x:c r="E198" s="53" t="str">
        <x:v>USA</x:v>
      </x:c>
      <x:c r="F198" s="53" t="str">
        <x:v>United States</x:v>
      </x:c>
      <x:c r="G198" s="53" t="n">
        <x:v>2017</x:v>
      </x:c>
      <x:c r="H198" s="53" t="str">
        <x:v>Issuance</x:v>
      </x:c>
      <x:c r="I198" s="53" t="str">
        <x:v>EF+B</x:v>
      </x:c>
      <x:c r="J198" s="53" t="n">
        <x:v>2</x:v>
      </x:c>
      <x:c r="K198" s="53" t="n">
        <x:v>0</x:v>
      </x:c>
      <x:c r="L198" s="53" t="n">
        <x:v>0</x:v>
      </x:c>
      <x:c r="M198" s="54" t="n">
        <x:v>25377.03</x:v>
      </x:c>
      <x:c r="N198" s="54" t="n">
        <x:v>34400.892847677576</x:v>
      </x:c>
      <x:c r="O198" s="54" t="n">
        <x:v>31756.905343166552</x:v>
      </x:c>
      <x:c r="P198" s="54" t="n">
        <x:v>2643.987504511024</x:v>
      </x:c>
      <x:c r="Q198" s="55" t="b">
        <x:v>0</x:v>
      </x:c>
      <x:c r="R198" s="56" t="str">
        <x:v>none</x:v>
      </x:c>
      <x:c r="S198" s="57" t="str">
        <x:v>GCAP estimated restatement; Position_Residency may include GCAP interpolation/extrapolation per documentation</x:v>
      </x:c>
      <x:c r="T198" s="57" t="str">
        <x:v>diagonal set to zero + within-sample row normalization</x:v>
      </x:c>
      <x:c r="U198" s="57" t="str">
        <x:v>GCAP Restated Bilateral External Portfolios v1.8</x:v>
      </x:c>
      <x:c r="V198" s="57" t="str">
        <x:v>IMF CPIS</x:v>
      </x:c>
      <x:c r="W198" s="58" t="str">
        <x:v>https://globalcapitalallocation.s3.us-east-2.amazonaws.com/Restated_Bilateral_External_Portfolios_ReadMe.pdf</x:v>
      </x:c>
      <x:c r="X198" s="59" t="n">
        <x:v>0.20409311311268877</x:v>
      </x:c>
      <x:c r="Y198" s="59" t="n">
        <x:v>0.15896449914358265</x:v>
      </x:c>
      <x:c r="Z198" s="59" t="n">
        <x:v>0.1961974770902862</x:v>
      </x:c>
      <x:c r="AA198" s="59" t="n">
        <x:v>0.39504082367843607</x:v>
      </x:c>
    </x:row>
    <x:row r="199">
      <x:c r="A199" s="60" t="str">
        <x:v>ZA</x:v>
      </x:c>
      <x:c r="B199" s="60" t="str">
        <x:v>ZAF</x:v>
      </x:c>
      <x:c r="C199" s="60" t="str">
        <x:v>South Africa</x:v>
      </x:c>
      <x:c r="D199" s="60" t="str">
        <x:v>ZA</x:v>
      </x:c>
      <x:c r="E199" s="60" t="str">
        <x:v>ZAF</x:v>
      </x:c>
      <x:c r="F199" s="60" t="str">
        <x:v>South Africa</x:v>
      </x:c>
      <x:c r="G199" s="60" t="n">
        <x:v>2017</x:v>
      </x:c>
      <x:c r="H199" s="60" t="str">
        <x:v>Issuance</x:v>
      </x:c>
      <x:c r="I199" s="60" t="str">
        <x:v>EF+B</x:v>
      </x:c>
      <x:c r="J199" s="60" t="n">
        <x:v>2</x:v>
      </x:c>
      <x:c r="K199" s="60" t="n">
        <x:v>0</x:v>
      </x:c>
      <x:c r="L199" s="60" t="n">
        <x:v>0</x:v>
      </x:c>
      <x:c r="M199" s="61" t="n">
        <x:v>0</x:v>
      </x:c>
      <x:c r="N199" s="61" t="n">
        <x:v>367.78779430733994</x:v>
      </x:c>
      <x:c r="O199" s="61" t="n">
        <x:v>271.6703316960484</x:v>
      </x:c>
      <x:c r="P199" s="61" t="n">
        <x:v>96.11746261129156</x:v>
      </x:c>
      <x:c r="Q199" s="62" t="b">
        <x:v>1</x:v>
      </x:c>
      <x:c r="R199" s="63" t="str">
        <x:v>none</x:v>
      </x:c>
      <x:c r="S199" s="64" t="str">
        <x:v>GCAP estimated restatement; Position_Residency may include GCAP interpolation/extrapolation per documentation</x:v>
      </x:c>
      <x:c r="T199" s="64" t="str">
        <x:v>EA issuer aggregation + diagonal set to zero + within-sample row normalization</x:v>
      </x:c>
      <x:c r="U199" s="64" t="str">
        <x:v>GCAP Restated Bilateral External Portfolios v1.8</x:v>
      </x:c>
      <x:c r="V199" s="64" t="str">
        <x:v>IMF CPIS</x:v>
      </x:c>
      <x:c r="W199" s="65" t="str">
        <x:v>https://globalcapitalallocation.s3.us-east-2.amazonaws.com/Restated_Bilateral_External_Portfolios_ReadMe.pdf</x:v>
      </x:c>
      <x:c r="X199" s="66" t="n">
        <x:v>0</x:v>
      </x:c>
      <x:c r="Y199" s="66" t="n">
        <x:v>0</x:v>
      </x:c>
      <x:c r="Z199" s="66" t="n">
        <x:v>0</x:v>
      </x:c>
      <x:c r="AA199" s="66" t="n">
        <x:v>0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8" customHeight="1">
      <x:c r="A1" s="4" t="str">
        <x:v>W Main Restated — 14×14</x:v>
      </x:c>
      <x:c r="B1" s="4" t="str">
        <x:v>W Main Restated — 14×14</x:v>
      </x:c>
      <x:c r="C1" s="4" t="str">
        <x:v>W Main Restated — 14×14</x:v>
      </x:c>
      <x:c r="D1" s="4" t="str">
        <x:v>W Main Restated — 14×14</x:v>
      </x:c>
      <x:c r="E1" s="4" t="str">
        <x:v>W Main Restated — 14×14</x:v>
      </x:c>
      <x:c r="F1" s="4" t="str">
        <x:v>W Main Restated — 14×14</x:v>
      </x:c>
      <x:c r="G1" s="4" t="str">
        <x:v>W Main Restated — 14×14</x:v>
      </x:c>
      <x:c r="H1" s="4" t="str">
        <x:v>W Main Restated — 14×14</x:v>
      </x:c>
      <x:c r="I1" s="4" t="str">
        <x:v>W Main Restated — 14×14</x:v>
      </x:c>
      <x:c r="J1" s="4" t="str">
        <x:v>W Main Restated — 14×14</x:v>
      </x:c>
      <x:c r="K1" s="4" t="str">
        <x:v>W Main Restated — 14×14</x:v>
      </x:c>
      <x:c r="L1" s="4" t="str">
        <x:v>W Main Restated — 14×14</x:v>
      </x:c>
      <x:c r="M1" s="4" t="str">
        <x:v>W Main Restated — 14×14</x:v>
      </x:c>
      <x:c r="N1" s="4" t="str">
        <x:v>W Main Restated — 14×14</x:v>
      </x:c>
      <x:c r="O1" s="4" t="str">
        <x:v>W Main Restated — 14×14</x:v>
      </x:c>
    </x:row>
    <x:row r="2">
      <x:c r="A2" s="8" t="str">
        <x:v>Recommended main matrix: GCAP Restatement Ex Domestic, equity plus bonds. Rows are investors; columns are issuers/exposure destinations. Diagonal = 0; row sum = 1.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4" customHeight="1">
      <x:c r="A3" s="20" t="str">
        <x:v>Investor / Issuer</x:v>
      </x:c>
      <x:c r="B3" s="21" t="str">
        <x:v>AU</x:v>
      </x:c>
      <x:c r="C3" s="21" t="str">
        <x:v>BR</x:v>
      </x:c>
      <x:c r="D3" s="21" t="str">
        <x:v>CA</x:v>
      </x:c>
      <x:c r="E3" s="21" t="str">
        <x:v>CH</x:v>
      </x:c>
      <x:c r="F3" s="21" t="str">
        <x:v>CN</x:v>
      </x:c>
      <x:c r="G3" s="21" t="str">
        <x:v>EA</x:v>
      </x:c>
      <x:c r="H3" s="21" t="str">
        <x:v>UK</x:v>
      </x:c>
      <x:c r="I3" s="21" t="str">
        <x:v>JP</x:v>
      </x:c>
      <x:c r="J3" s="21" t="str">
        <x:v>KR</x:v>
      </x:c>
      <x:c r="K3" s="21" t="str">
        <x:v>NO</x:v>
      </x:c>
      <x:c r="L3" s="21" t="str">
        <x:v>SG</x:v>
      </x:c>
      <x:c r="M3" s="21" t="str">
        <x:v>TR</x:v>
      </x:c>
      <x:c r="N3" s="21" t="str">
        <x:v>US</x:v>
      </x:c>
      <x:c r="O3" s="22" t="str">
        <x:v>ZA</x:v>
      </x:c>
    </x:row>
    <x:row r="4">
      <x:c r="A4" s="69" t="str">
        <x:v>AU</x:v>
      </x:c>
      <x:c r="B4" s="98" t="n">
        <x:f>SUMIFS('Cell Lineage'!$X$4:$X$199,'Cell Lineage'!$A$4:$A$199,$A4,'Cell Lineage'!$D$4:$D$199,B$3)</x:f>
        <x:v>0</x:v>
      </x:c>
      <x:c r="C4" s="89" t="n">
        <x:f>SUMIFS('Cell Lineage'!$X$4:$X$199,'Cell Lineage'!$A$4:$A$199,$A4,'Cell Lineage'!$D$4:$D$199,C$3)</x:f>
        <x:v>0.0058880639081212716</x:v>
      </x:c>
      <x:c r="D4" s="89" t="n">
        <x:f>SUMIFS('Cell Lineage'!$X$4:$X$199,'Cell Lineage'!$A$4:$A$199,$A4,'Cell Lineage'!$D$4:$D$199,D$3)</x:f>
        <x:v>0.036975006976744544</x:v>
      </x:c>
      <x:c r="E4" s="89" t="n">
        <x:f>SUMIFS('Cell Lineage'!$X$4:$X$199,'Cell Lineage'!$A$4:$A$199,$A4,'Cell Lineage'!$D$4:$D$199,E$3)</x:f>
        <x:v>0.022705709185184796</x:v>
      </x:c>
      <x:c r="F4" s="89" t="n">
        <x:f>SUMIFS('Cell Lineage'!$X$4:$X$199,'Cell Lineage'!$A$4:$A$199,$A4,'Cell Lineage'!$D$4:$D$199,F$3)</x:f>
        <x:v>0.05568477292349855</x:v>
      </x:c>
      <x:c r="G4" s="89" t="n">
        <x:f>SUMIFS('Cell Lineage'!$X$4:$X$199,'Cell Lineage'!$A$4:$A$199,$A4,'Cell Lineage'!$D$4:$D$199,G$3)</x:f>
        <x:v>0.16632046589004915</x:v>
      </x:c>
      <x:c r="H4" s="89" t="n">
        <x:f>SUMIFS('Cell Lineage'!$X$4:$X$199,'Cell Lineage'!$A$4:$A$199,$A4,'Cell Lineage'!$D$4:$D$199,H$3)</x:f>
        <x:v>0.07907386254588145</x:v>
      </x:c>
      <x:c r="I4" s="89" t="n">
        <x:f>SUMIFS('Cell Lineage'!$X$4:$X$199,'Cell Lineage'!$A$4:$A$199,$A4,'Cell Lineage'!$D$4:$D$199,I$3)</x:f>
        <x:v>0.0698247906894477</x:v>
      </x:c>
      <x:c r="J4" s="89" t="n">
        <x:f>SUMIFS('Cell Lineage'!$X$4:$X$199,'Cell Lineage'!$A$4:$A$199,$A4,'Cell Lineage'!$D$4:$D$199,J$3)</x:f>
        <x:v>0.017263325893094247</x:v>
      </x:c>
      <x:c r="K4" s="89" t="n">
        <x:f>SUMIFS('Cell Lineage'!$X$4:$X$199,'Cell Lineage'!$A$4:$A$199,$A4,'Cell Lineage'!$D$4:$D$199,K$3)</x:f>
        <x:v>0.00882283931532802</x:v>
      </x:c>
      <x:c r="L4" s="89" t="n">
        <x:f>SUMIFS('Cell Lineage'!$X$4:$X$199,'Cell Lineage'!$A$4:$A$199,$A4,'Cell Lineage'!$D$4:$D$199,L$3)</x:f>
        <x:v>0.01267842204891481</x:v>
      </x:c>
      <x:c r="M4" s="89" t="n">
        <x:f>SUMIFS('Cell Lineage'!$X$4:$X$199,'Cell Lineage'!$A$4:$A$199,$A4,'Cell Lineage'!$D$4:$D$199,M$3)</x:f>
        <x:v>0.0012639797748089485</x:v>
      </x:c>
      <x:c r="N4" s="89" t="n">
        <x:f>SUMIFS('Cell Lineage'!$X$4:$X$199,'Cell Lineage'!$A$4:$A$199,$A4,'Cell Lineage'!$D$4:$D$199,N$3)</x:f>
        <x:v>0.5197208004582363</x:v>
      </x:c>
      <x:c r="O4" s="90" t="n">
        <x:f>SUMIFS('Cell Lineage'!$X$4:$X$199,'Cell Lineage'!$A$4:$A$199,$A4,'Cell Lineage'!$D$4:$D$199,O$3)</x:f>
        <x:v>0.0037779603906902075</x:v>
      </x:c>
    </x:row>
    <x:row r="5">
      <x:c r="A5" s="69" t="str">
        <x:v>BR</x:v>
      </x:c>
      <x:c r="B5" s="91" t="n">
        <x:f>SUMIFS('Cell Lineage'!$X$4:$X$199,'Cell Lineage'!$A$4:$A$199,$A5,'Cell Lineage'!$D$4:$D$199,B$3)</x:f>
        <x:v>0.0008365378437861405</x:v>
      </x:c>
      <x:c r="C5" s="100" t="n">
        <x:f>SUMIFS('Cell Lineage'!$X$4:$X$199,'Cell Lineage'!$A$4:$A$199,$A5,'Cell Lineage'!$D$4:$D$199,C$3)</x:f>
        <x:v>0</x:v>
      </x:c>
      <x:c r="D5" s="92" t="n">
        <x:f>SUMIFS('Cell Lineage'!$X$4:$X$199,'Cell Lineage'!$A$4:$A$199,$A5,'Cell Lineage'!$D$4:$D$199,D$3)</x:f>
        <x:v>0.0071078173595343986</x:v>
      </x:c>
      <x:c r="E5" s="92" t="n">
        <x:f>SUMIFS('Cell Lineage'!$X$4:$X$199,'Cell Lineage'!$A$4:$A$199,$A5,'Cell Lineage'!$D$4:$D$199,E$3)</x:f>
        <x:v>0.07928547070965832</x:v>
      </x:c>
      <x:c r="F5" s="92" t="n">
        <x:f>SUMIFS('Cell Lineage'!$X$4:$X$199,'Cell Lineage'!$A$4:$A$199,$A5,'Cell Lineage'!$D$4:$D$199,F$3)</x:f>
        <x:v>0.11209778930852936</x:v>
      </x:c>
      <x:c r="G5" s="92" t="n">
        <x:f>SUMIFS('Cell Lineage'!$X$4:$X$199,'Cell Lineage'!$A$4:$A$199,$A5,'Cell Lineage'!$D$4:$D$199,G$3)</x:f>
        <x:v>0.26189013307404707</x:v>
      </x:c>
      <x:c r="H5" s="92" t="n">
        <x:f>SUMIFS('Cell Lineage'!$X$4:$X$199,'Cell Lineage'!$A$4:$A$199,$A5,'Cell Lineage'!$D$4:$D$199,H$3)</x:f>
        <x:v>0.025642568894386722</x:v>
      </x:c>
      <x:c r="I5" s="92" t="n">
        <x:f>SUMIFS('Cell Lineage'!$X$4:$X$199,'Cell Lineage'!$A$4:$A$199,$A5,'Cell Lineage'!$D$4:$D$199,I$3)</x:f>
        <x:v>0.0027939687721884425</x:v>
      </x:c>
      <x:c r="J5" s="92" t="n">
        <x:f>SUMIFS('Cell Lineage'!$X$4:$X$199,'Cell Lineage'!$A$4:$A$199,$A5,'Cell Lineage'!$D$4:$D$199,J$3)</x:f>
        <x:v>0.0166326048577978</x:v>
      </x:c>
      <x:c r="K5" s="92" t="n">
        <x:f>SUMIFS('Cell Lineage'!$X$4:$X$199,'Cell Lineage'!$A$4:$A$199,$A5,'Cell Lineage'!$D$4:$D$199,K$3)</x:f>
        <x:v>0.0007730061581708829</x:v>
      </x:c>
      <x:c r="L5" s="92" t="n">
        <x:f>SUMIFS('Cell Lineage'!$X$4:$X$199,'Cell Lineage'!$A$4:$A$199,$A5,'Cell Lineage'!$D$4:$D$199,L$3)</x:f>
        <x:v>0.005237324958062355</x:v>
      </x:c>
      <x:c r="M5" s="92" t="n">
        <x:f>SUMIFS('Cell Lineage'!$X$4:$X$199,'Cell Lineage'!$A$4:$A$199,$A5,'Cell Lineage'!$D$4:$D$199,M$3)</x:f>
        <x:v>0.00016274113913936536</x:v>
      </x:c>
      <x:c r="N5" s="92" t="n">
        <x:f>SUMIFS('Cell Lineage'!$X$4:$X$199,'Cell Lineage'!$A$4:$A$199,$A5,'Cell Lineage'!$D$4:$D$199,N$3)</x:f>
        <x:v>0.48715646365716003</x:v>
      </x:c>
      <x:c r="O5" s="93" t="n">
        <x:f>SUMIFS('Cell Lineage'!$X$4:$X$199,'Cell Lineage'!$A$4:$A$199,$A5,'Cell Lineage'!$D$4:$D$199,O$3)</x:f>
        <x:v>0.00038357326753924115</x:v>
      </x:c>
    </x:row>
    <x:row r="6">
      <x:c r="A6" s="69" t="str">
        <x:v>CA</x:v>
      </x:c>
      <x:c r="B6" s="91" t="n">
        <x:f>SUMIFS('Cell Lineage'!$X$4:$X$199,'Cell Lineage'!$A$4:$A$199,$A6,'Cell Lineage'!$D$4:$D$199,B$3)</x:f>
        <x:v>0.01647671224760414</x:v>
      </x:c>
      <x:c r="C6" s="92" t="n">
        <x:f>SUMIFS('Cell Lineage'!$X$4:$X$199,'Cell Lineage'!$A$4:$A$199,$A6,'Cell Lineage'!$D$4:$D$199,C$3)</x:f>
        <x:v>0.009779618714512205</x:v>
      </x:c>
      <x:c r="D6" s="100" t="n">
        <x:f>SUMIFS('Cell Lineage'!$X$4:$X$199,'Cell Lineage'!$A$4:$A$199,$A6,'Cell Lineage'!$D$4:$D$199,D$3)</x:f>
        <x:v>0</x:v>
      </x:c>
      <x:c r="E6" s="92" t="n">
        <x:f>SUMIFS('Cell Lineage'!$X$4:$X$199,'Cell Lineage'!$A$4:$A$199,$A6,'Cell Lineage'!$D$4:$D$199,E$3)</x:f>
        <x:v>0.02002850827169421</x:v>
      </x:c>
      <x:c r="F6" s="92" t="n">
        <x:f>SUMIFS('Cell Lineage'!$X$4:$X$199,'Cell Lineage'!$A$4:$A$199,$A6,'Cell Lineage'!$D$4:$D$199,F$3)</x:f>
        <x:v>0.04022380051739996</x:v>
      </x:c>
      <x:c r="G6" s="92" t="n">
        <x:f>SUMIFS('Cell Lineage'!$X$4:$X$199,'Cell Lineage'!$A$4:$A$199,$A6,'Cell Lineage'!$D$4:$D$199,G$3)</x:f>
        <x:v>0.11691688827615641</x:v>
      </x:c>
      <x:c r="H6" s="92" t="n">
        <x:f>SUMIFS('Cell Lineage'!$X$4:$X$199,'Cell Lineage'!$A$4:$A$199,$A6,'Cell Lineage'!$D$4:$D$199,H$3)</x:f>
        <x:v>0.06163423749021334</x:v>
      </x:c>
      <x:c r="I6" s="92" t="n">
        <x:f>SUMIFS('Cell Lineage'!$X$4:$X$199,'Cell Lineage'!$A$4:$A$199,$A6,'Cell Lineage'!$D$4:$D$199,I$3)</x:f>
        <x:v>0.04818949946649933</x:v>
      </x:c>
      <x:c r="J6" s="92" t="n">
        <x:f>SUMIFS('Cell Lineage'!$X$4:$X$199,'Cell Lineage'!$A$4:$A$199,$A6,'Cell Lineage'!$D$4:$D$199,J$3)</x:f>
        <x:v>0.014297970723876785</x:v>
      </x:c>
      <x:c r="K6" s="92" t="n">
        <x:f>SUMIFS('Cell Lineage'!$X$4:$X$199,'Cell Lineage'!$A$4:$A$199,$A6,'Cell Lineage'!$D$4:$D$199,K$3)</x:f>
        <x:v>0.004013789791519726</x:v>
      </x:c>
      <x:c r="L6" s="92" t="n">
        <x:f>SUMIFS('Cell Lineage'!$X$4:$X$199,'Cell Lineage'!$A$4:$A$199,$A6,'Cell Lineage'!$D$4:$D$199,L$3)</x:f>
        <x:v>0.0024792386041373156</x:v>
      </x:c>
      <x:c r="M6" s="92" t="n">
        <x:f>SUMIFS('Cell Lineage'!$X$4:$X$199,'Cell Lineage'!$A$4:$A$199,$A6,'Cell Lineage'!$D$4:$D$199,M$3)</x:f>
        <x:v>0.0019503631748224023</x:v>
      </x:c>
      <x:c r="N6" s="92" t="n">
        <x:f>SUMIFS('Cell Lineage'!$X$4:$X$199,'Cell Lineage'!$A$4:$A$199,$A6,'Cell Lineage'!$D$4:$D$199,N$3)</x:f>
        <x:v>0.6590782516323531</x:v>
      </x:c>
      <x:c r="O6" s="93" t="n">
        <x:f>SUMIFS('Cell Lineage'!$X$4:$X$199,'Cell Lineage'!$A$4:$A$199,$A6,'Cell Lineage'!$D$4:$D$199,O$3)</x:f>
        <x:v>0.004931121089210978</x:v>
      </x:c>
    </x:row>
    <x:row r="7">
      <x:c r="A7" s="69" t="str">
        <x:v>CH</x:v>
      </x:c>
      <x:c r="B7" s="91" t="n">
        <x:f>SUMIFS('Cell Lineage'!$X$4:$X$199,'Cell Lineage'!$A$4:$A$199,$A7,'Cell Lineage'!$D$4:$D$199,B$3)</x:f>
        <x:v>0.027796069505888202</x:v>
      </x:c>
      <x:c r="C7" s="92" t="n">
        <x:f>SUMIFS('Cell Lineage'!$X$4:$X$199,'Cell Lineage'!$A$4:$A$199,$A7,'Cell Lineage'!$D$4:$D$199,C$3)</x:f>
        <x:v>0.003943909483279324</x:v>
      </x:c>
      <x:c r="D7" s="92" t="n">
        <x:f>SUMIFS('Cell Lineage'!$X$4:$X$199,'Cell Lineage'!$A$4:$A$199,$A7,'Cell Lineage'!$D$4:$D$199,D$3)</x:f>
        <x:v>0.03355561629420305</x:v>
      </x:c>
      <x:c r="E7" s="100" t="n">
        <x:f>SUMIFS('Cell Lineage'!$X$4:$X$199,'Cell Lineage'!$A$4:$A$199,$A7,'Cell Lineage'!$D$4:$D$199,E$3)</x:f>
        <x:v>0</x:v>
      </x:c>
      <x:c r="F7" s="92" t="n">
        <x:f>SUMIFS('Cell Lineage'!$X$4:$X$199,'Cell Lineage'!$A$4:$A$199,$A7,'Cell Lineage'!$D$4:$D$199,F$3)</x:f>
        <x:v>0.05134527005378716</x:v>
      </x:c>
      <x:c r="G7" s="92" t="n">
        <x:f>SUMIFS('Cell Lineage'!$X$4:$X$199,'Cell Lineage'!$A$4:$A$199,$A7,'Cell Lineage'!$D$4:$D$199,G$3)</x:f>
        <x:v>0.46969951727327197</x:v>
      </x:c>
      <x:c r="H7" s="92" t="n">
        <x:f>SUMIFS('Cell Lineage'!$X$4:$X$199,'Cell Lineage'!$A$4:$A$199,$A7,'Cell Lineage'!$D$4:$D$199,H$3)</x:f>
        <x:v>0.06634304064493399</x:v>
      </x:c>
      <x:c r="I7" s="92" t="n">
        <x:f>SUMIFS('Cell Lineage'!$X$4:$X$199,'Cell Lineage'!$A$4:$A$199,$A7,'Cell Lineage'!$D$4:$D$199,I$3)</x:f>
        <x:v>0.033131997114273906</x:v>
      </x:c>
      <x:c r="J7" s="92" t="n">
        <x:f>SUMIFS('Cell Lineage'!$X$4:$X$199,'Cell Lineage'!$A$4:$A$199,$A7,'Cell Lineage'!$D$4:$D$199,J$3)</x:f>
        <x:v>0.009481715219617977</x:v>
      </x:c>
      <x:c r="K7" s="92" t="n">
        <x:f>SUMIFS('Cell Lineage'!$X$4:$X$199,'Cell Lineage'!$A$4:$A$199,$A7,'Cell Lineage'!$D$4:$D$199,K$3)</x:f>
        <x:v>0.007415493905998372</x:v>
      </x:c>
      <x:c r="L7" s="92" t="n">
        <x:f>SUMIFS('Cell Lineage'!$X$4:$X$199,'Cell Lineage'!$A$4:$A$199,$A7,'Cell Lineage'!$D$4:$D$199,L$3)</x:f>
        <x:v>0.002918413972034828</x:v>
      </x:c>
      <x:c r="M7" s="92" t="n">
        <x:f>SUMIFS('Cell Lineage'!$X$4:$X$199,'Cell Lineage'!$A$4:$A$199,$A7,'Cell Lineage'!$D$4:$D$199,M$3)</x:f>
        <x:v>0.001491626271179518</x:v>
      </x:c>
      <x:c r="N7" s="92" t="n">
        <x:f>SUMIFS('Cell Lineage'!$X$4:$X$199,'Cell Lineage'!$A$4:$A$199,$A7,'Cell Lineage'!$D$4:$D$199,N$3)</x:f>
        <x:v>0.2899263715056242</x:v>
      </x:c>
      <x:c r="O7" s="93" t="n">
        <x:f>SUMIFS('Cell Lineage'!$X$4:$X$199,'Cell Lineage'!$A$4:$A$199,$A7,'Cell Lineage'!$D$4:$D$199,O$3)</x:f>
        <x:v>0.002950958755907488</x:v>
      </x:c>
    </x:row>
    <x:row r="8">
      <x:c r="A8" s="69" t="str">
        <x:v>CN</x:v>
      </x:c>
      <x:c r="B8" s="91" t="n">
        <x:f>SUMIFS('Cell Lineage'!$X$4:$X$199,'Cell Lineage'!$A$4:$A$199,$A8,'Cell Lineage'!$D$4:$D$199,B$3)</x:f>
        <x:v>0.037800280953038744</x:v>
      </x:c>
      <x:c r="C8" s="92" t="n">
        <x:f>SUMIFS('Cell Lineage'!$X$4:$X$199,'Cell Lineage'!$A$4:$A$199,$A8,'Cell Lineage'!$D$4:$D$199,C$3)</x:f>
        <x:v>0.010925898466175624</x:v>
      </x:c>
      <x:c r="D8" s="92" t="n">
        <x:f>SUMIFS('Cell Lineage'!$X$4:$X$199,'Cell Lineage'!$A$4:$A$199,$A8,'Cell Lineage'!$D$4:$D$199,D$3)</x:f>
        <x:v>0.023948191896412726</x:v>
      </x:c>
      <x:c r="E8" s="92" t="n">
        <x:f>SUMIFS('Cell Lineage'!$X$4:$X$199,'Cell Lineage'!$A$4:$A$199,$A8,'Cell Lineage'!$D$4:$D$199,E$3)</x:f>
        <x:v>0.023934909898173096</x:v>
      </x:c>
      <x:c r="F8" s="100" t="n">
        <x:f>SUMIFS('Cell Lineage'!$X$4:$X$199,'Cell Lineage'!$A$4:$A$199,$A8,'Cell Lineage'!$D$4:$D$199,F$3)</x:f>
        <x:v>0</x:v>
      </x:c>
      <x:c r="G8" s="92" t="n">
        <x:f>SUMIFS('Cell Lineage'!$X$4:$X$199,'Cell Lineage'!$A$4:$A$199,$A8,'Cell Lineage'!$D$4:$D$199,G$3)</x:f>
        <x:v>0.1469059252496118</x:v>
      </x:c>
      <x:c r="H8" s="92" t="n">
        <x:f>SUMIFS('Cell Lineage'!$X$4:$X$199,'Cell Lineage'!$A$4:$A$199,$A8,'Cell Lineage'!$D$4:$D$199,H$3)</x:f>
        <x:v>0.1026289226012147</x:v>
      </x:c>
      <x:c r="I8" s="92" t="n">
        <x:f>SUMIFS('Cell Lineage'!$X$4:$X$199,'Cell Lineage'!$A$4:$A$199,$A8,'Cell Lineage'!$D$4:$D$199,I$3)</x:f>
        <x:v>0.05075927627938825</x:v>
      </x:c>
      <x:c r="J8" s="92" t="n">
        <x:f>SUMIFS('Cell Lineage'!$X$4:$X$199,'Cell Lineage'!$A$4:$A$199,$A8,'Cell Lineage'!$D$4:$D$199,J$3)</x:f>
        <x:v>0.018377509244687073</x:v>
      </x:c>
      <x:c r="K8" s="92" t="n">
        <x:f>SUMIFS('Cell Lineage'!$X$4:$X$199,'Cell Lineage'!$A$4:$A$199,$A8,'Cell Lineage'!$D$4:$D$199,K$3)</x:f>
        <x:v>0.0015914790897135983</x:v>
      </x:c>
      <x:c r="L8" s="92" t="n">
        <x:f>SUMIFS('Cell Lineage'!$X$4:$X$199,'Cell Lineage'!$A$4:$A$199,$A8,'Cell Lineage'!$D$4:$D$199,L$3)</x:f>
        <x:v>0.027921121596963742</x:v>
      </x:c>
      <x:c r="M8" s="92" t="n">
        <x:f>SUMIFS('Cell Lineage'!$X$4:$X$199,'Cell Lineage'!$A$4:$A$199,$A8,'Cell Lineage'!$D$4:$D$199,M$3)</x:f>
        <x:v>0.0013905088179929153</x:v>
      </x:c>
      <x:c r="N8" s="92" t="n">
        <x:f>SUMIFS('Cell Lineage'!$X$4:$X$199,'Cell Lineage'!$A$4:$A$199,$A8,'Cell Lineage'!$D$4:$D$199,N$3)</x:f>
        <x:v>0.5511773614220106</x:v>
      </x:c>
      <x:c r="O8" s="93" t="n">
        <x:f>SUMIFS('Cell Lineage'!$X$4:$X$199,'Cell Lineage'!$A$4:$A$199,$A8,'Cell Lineage'!$D$4:$D$199,O$3)</x:f>
        <x:v>0.0026386144846170913</x:v>
      </x:c>
    </x:row>
    <x:row r="9">
      <x:c r="A9" s="69" t="str">
        <x:v>EA</x:v>
      </x:c>
      <x:c r="B9" s="91" t="n">
        <x:f>SUMIFS('Cell Lineage'!$X$4:$X$199,'Cell Lineage'!$A$4:$A$199,$A9,'Cell Lineage'!$D$4:$D$199,B$3)</x:f>
        <x:v>0.03276863768472311</x:v>
      </x:c>
      <x:c r="C9" s="92" t="n">
        <x:f>SUMIFS('Cell Lineage'!$X$4:$X$199,'Cell Lineage'!$A$4:$A$199,$A9,'Cell Lineage'!$D$4:$D$199,C$3)</x:f>
        <x:v>0.014043862505744712</x:v>
      </x:c>
      <x:c r="D9" s="92" t="n">
        <x:f>SUMIFS('Cell Lineage'!$X$4:$X$199,'Cell Lineage'!$A$4:$A$199,$A9,'Cell Lineage'!$D$4:$D$199,D$3)</x:f>
        <x:v>0.03806013003948568</x:v>
      </x:c>
      <x:c r="E9" s="92" t="n">
        <x:f>SUMIFS('Cell Lineage'!$X$4:$X$199,'Cell Lineage'!$A$4:$A$199,$A9,'Cell Lineage'!$D$4:$D$199,E$3)</x:f>
        <x:v>0.05020326832626656</x:v>
      </x:c>
      <x:c r="F9" s="92" t="n">
        <x:f>SUMIFS('Cell Lineage'!$X$4:$X$199,'Cell Lineage'!$A$4:$A$199,$A9,'Cell Lineage'!$D$4:$D$199,F$3)</x:f>
        <x:v>0.053807213700433044</x:v>
      </x:c>
      <x:c r="G9" s="100" t="n">
        <x:f>SUMIFS('Cell Lineage'!$X$4:$X$199,'Cell Lineage'!$A$4:$A$199,$A9,'Cell Lineage'!$D$4:$D$199,G$3)</x:f>
        <x:v>0</x:v>
      </x:c>
      <x:c r="H9" s="92" t="n">
        <x:f>SUMIFS('Cell Lineage'!$X$4:$X$199,'Cell Lineage'!$A$4:$A$199,$A9,'Cell Lineage'!$D$4:$D$199,H$3)</x:f>
        <x:v>0.21235221326664216</x:v>
      </x:c>
      <x:c r="I9" s="92" t="n">
        <x:f>SUMIFS('Cell Lineage'!$X$4:$X$199,'Cell Lineage'!$A$4:$A$199,$A9,'Cell Lineage'!$D$4:$D$199,I$3)</x:f>
        <x:v>0.07372587304722411</x:v>
      </x:c>
      <x:c r="J9" s="92" t="n">
        <x:f>SUMIFS('Cell Lineage'!$X$4:$X$199,'Cell Lineage'!$A$4:$A$199,$A9,'Cell Lineage'!$D$4:$D$199,J$3)</x:f>
        <x:v>0.015721277225252732</x:v>
      </x:c>
      <x:c r="K9" s="92" t="n">
        <x:f>SUMIFS('Cell Lineage'!$X$4:$X$199,'Cell Lineage'!$A$4:$A$199,$A9,'Cell Lineage'!$D$4:$D$199,K$3)</x:f>
        <x:v>0.01729800303883434</x:v>
      </x:c>
      <x:c r="L9" s="92" t="n">
        <x:f>SUMIFS('Cell Lineage'!$X$4:$X$199,'Cell Lineage'!$A$4:$A$199,$A9,'Cell Lineage'!$D$4:$D$199,L$3)</x:f>
        <x:v>0.00580231475820174</x:v>
      </x:c>
      <x:c r="M9" s="92" t="n">
        <x:f>SUMIFS('Cell Lineage'!$X$4:$X$199,'Cell Lineage'!$A$4:$A$199,$A9,'Cell Lineage'!$D$4:$D$199,M$3)</x:f>
        <x:v>0.006314968153171654</x:v>
      </x:c>
      <x:c r="N9" s="92" t="n">
        <x:f>SUMIFS('Cell Lineage'!$X$4:$X$199,'Cell Lineage'!$A$4:$A$199,$A9,'Cell Lineage'!$D$4:$D$199,N$3)</x:f>
        <x:v>0.47120227658308056</x:v>
      </x:c>
      <x:c r="O9" s="93" t="n">
        <x:f>SUMIFS('Cell Lineage'!$X$4:$X$199,'Cell Lineage'!$A$4:$A$199,$A9,'Cell Lineage'!$D$4:$D$199,O$3)</x:f>
        <x:v>0.008699961670939813</x:v>
      </x:c>
    </x:row>
    <x:row r="10">
      <x:c r="A10" s="69" t="str">
        <x:v>UK</x:v>
      </x:c>
      <x:c r="B10" s="91" t="n">
        <x:f>SUMIFS('Cell Lineage'!$X$4:$X$199,'Cell Lineage'!$A$4:$A$199,$A10,'Cell Lineage'!$D$4:$D$199,B$3)</x:f>
        <x:v>0.02608695778017579</x:v>
      </x:c>
      <x:c r="C10" s="92" t="n">
        <x:f>SUMIFS('Cell Lineage'!$X$4:$X$199,'Cell Lineage'!$A$4:$A$199,$A10,'Cell Lineage'!$D$4:$D$199,C$3)</x:f>
        <x:v>0.010345479860388052</x:v>
      </x:c>
      <x:c r="D10" s="92" t="n">
        <x:f>SUMIFS('Cell Lineage'!$X$4:$X$199,'Cell Lineage'!$A$4:$A$199,$A10,'Cell Lineage'!$D$4:$D$199,D$3)</x:f>
        <x:v>0.021917899984023975</x:v>
      </x:c>
      <x:c r="E10" s="92" t="n">
        <x:f>SUMIFS('Cell Lineage'!$X$4:$X$199,'Cell Lineage'!$A$4:$A$199,$A10,'Cell Lineage'!$D$4:$D$199,E$3)</x:f>
        <x:v>0.03545921961167965</x:v>
      </x:c>
      <x:c r="F10" s="92" t="n">
        <x:f>SUMIFS('Cell Lineage'!$X$4:$X$199,'Cell Lineage'!$A$4:$A$199,$A10,'Cell Lineage'!$D$4:$D$199,F$3)</x:f>
        <x:v>0.03793089768304066</x:v>
      </x:c>
      <x:c r="G10" s="92" t="n">
        <x:f>SUMIFS('Cell Lineage'!$X$4:$X$199,'Cell Lineage'!$A$4:$A$199,$A10,'Cell Lineage'!$D$4:$D$199,G$3)</x:f>
        <x:v>0.3266431954761189</x:v>
      </x:c>
      <x:c r="H10" s="100" t="n">
        <x:f>SUMIFS('Cell Lineage'!$X$4:$X$199,'Cell Lineage'!$A$4:$A$199,$A10,'Cell Lineage'!$D$4:$D$199,H$3)</x:f>
        <x:v>0</x:v>
      </x:c>
      <x:c r="I10" s="92" t="n">
        <x:f>SUMIFS('Cell Lineage'!$X$4:$X$199,'Cell Lineage'!$A$4:$A$199,$A10,'Cell Lineage'!$D$4:$D$199,I$3)</x:f>
        <x:v>0.06820530027789141</x:v>
      </x:c>
      <x:c r="J10" s="92" t="n">
        <x:f>SUMIFS('Cell Lineage'!$X$4:$X$199,'Cell Lineage'!$A$4:$A$199,$A10,'Cell Lineage'!$D$4:$D$199,J$3)</x:f>
        <x:v>0.015619699128029999</x:v>
      </x:c>
      <x:c r="K10" s="92" t="n">
        <x:f>SUMIFS('Cell Lineage'!$X$4:$X$199,'Cell Lineage'!$A$4:$A$199,$A10,'Cell Lineage'!$D$4:$D$199,K$3)</x:f>
        <x:v>0.0069257325954118</x:v>
      </x:c>
      <x:c r="L10" s="92" t="n">
        <x:f>SUMIFS('Cell Lineage'!$X$4:$X$199,'Cell Lineage'!$A$4:$A$199,$A10,'Cell Lineage'!$D$4:$D$199,L$3)</x:f>
        <x:v>0.00726563633228235</x:v>
      </x:c>
      <x:c r="M10" s="92" t="n">
        <x:f>SUMIFS('Cell Lineage'!$X$4:$X$199,'Cell Lineage'!$A$4:$A$199,$A10,'Cell Lineage'!$D$4:$D$199,M$3)</x:f>
        <x:v>0.002931564241115556</x:v>
      </x:c>
      <x:c r="N10" s="92" t="n">
        <x:f>SUMIFS('Cell Lineage'!$X$4:$X$199,'Cell Lineage'!$A$4:$A$199,$A10,'Cell Lineage'!$D$4:$D$199,N$3)</x:f>
        <x:v>0.43433477690271993</x:v>
      </x:c>
      <x:c r="O10" s="93" t="n">
        <x:f>SUMIFS('Cell Lineage'!$X$4:$X$199,'Cell Lineage'!$A$4:$A$199,$A10,'Cell Lineage'!$D$4:$D$199,O$3)</x:f>
        <x:v>0.006333640127121906</x:v>
      </x:c>
    </x:row>
    <x:row r="11">
      <x:c r="A11" s="69" t="str">
        <x:v>JP</x:v>
      </x:c>
      <x:c r="B11" s="91" t="n">
        <x:f>SUMIFS('Cell Lineage'!$X$4:$X$199,'Cell Lineage'!$A$4:$A$199,$A11,'Cell Lineage'!$D$4:$D$199,B$3)</x:f>
        <x:v>0.038758097594963466</x:v>
      </x:c>
      <x:c r="C11" s="92" t="n">
        <x:f>SUMIFS('Cell Lineage'!$X$4:$X$199,'Cell Lineage'!$A$4:$A$199,$A11,'Cell Lineage'!$D$4:$D$199,C$3)</x:f>
        <x:v>0.006833895577019883</x:v>
      </x:c>
      <x:c r="D11" s="92" t="n">
        <x:f>SUMIFS('Cell Lineage'!$X$4:$X$199,'Cell Lineage'!$A$4:$A$199,$A11,'Cell Lineage'!$D$4:$D$199,D$3)</x:f>
        <x:v>0.02200791489777107</x:v>
      </x:c>
      <x:c r="E11" s="92" t="n">
        <x:f>SUMIFS('Cell Lineage'!$X$4:$X$199,'Cell Lineage'!$A$4:$A$199,$A11,'Cell Lineage'!$D$4:$D$199,E$3)</x:f>
        <x:v>0.01593398472927484</x:v>
      </x:c>
      <x:c r="F11" s="92" t="n">
        <x:f>SUMIFS('Cell Lineage'!$X$4:$X$199,'Cell Lineage'!$A$4:$A$199,$A11,'Cell Lineage'!$D$4:$D$199,F$3)</x:f>
        <x:v>0.15329456012838275</x:v>
      </x:c>
      <x:c r="G11" s="92" t="n">
        <x:f>SUMIFS('Cell Lineage'!$X$4:$X$199,'Cell Lineage'!$A$4:$A$199,$A11,'Cell Lineage'!$D$4:$D$199,G$3)</x:f>
        <x:v>0.227618030116554</x:v>
      </x:c>
      <x:c r="H11" s="92" t="n">
        <x:f>SUMIFS('Cell Lineage'!$X$4:$X$199,'Cell Lineage'!$A$4:$A$199,$A11,'Cell Lineage'!$D$4:$D$199,H$3)</x:f>
        <x:v>0.05154697116015972</x:v>
      </x:c>
      <x:c r="I11" s="100" t="n">
        <x:f>SUMIFS('Cell Lineage'!$X$4:$X$199,'Cell Lineage'!$A$4:$A$199,$A11,'Cell Lineage'!$D$4:$D$199,I$3)</x:f>
        <x:v>0</x:v>
      </x:c>
      <x:c r="J11" s="92" t="n">
        <x:f>SUMIFS('Cell Lineage'!$X$4:$X$199,'Cell Lineage'!$A$4:$A$199,$A11,'Cell Lineage'!$D$4:$D$199,J$3)</x:f>
        <x:v>0.007763601916808797</x:v>
      </x:c>
      <x:c r="K11" s="92" t="n">
        <x:f>SUMIFS('Cell Lineage'!$X$4:$X$199,'Cell Lineage'!$A$4:$A$199,$A11,'Cell Lineage'!$D$4:$D$199,K$3)</x:f>
        <x:v>0.005076810416922478</x:v>
      </x:c>
      <x:c r="L11" s="92" t="n">
        <x:f>SUMIFS('Cell Lineage'!$X$4:$X$199,'Cell Lineage'!$A$4:$A$199,$A11,'Cell Lineage'!$D$4:$D$199,L$3)</x:f>
        <x:v>0.006632745786323547</x:v>
      </x:c>
      <x:c r="M11" s="92" t="n">
        <x:f>SUMIFS('Cell Lineage'!$X$4:$X$199,'Cell Lineage'!$A$4:$A$199,$A11,'Cell Lineage'!$D$4:$D$199,M$3)</x:f>
        <x:v>0.0015524610248456839</x:v>
      </x:c>
      <x:c r="N11" s="92" t="n">
        <x:f>SUMIFS('Cell Lineage'!$X$4:$X$199,'Cell Lineage'!$A$4:$A$199,$A11,'Cell Lineage'!$D$4:$D$199,N$3)</x:f>
        <x:v>0.46049376513781165</x:v>
      </x:c>
      <x:c r="O11" s="93" t="n">
        <x:f>SUMIFS('Cell Lineage'!$X$4:$X$199,'Cell Lineage'!$A$4:$A$199,$A11,'Cell Lineage'!$D$4:$D$199,O$3)</x:f>
        <x:v>0.0024871615131621225</x:v>
      </x:c>
    </x:row>
    <x:row r="12">
      <x:c r="A12" s="69" t="str">
        <x:v>KR</x:v>
      </x:c>
      <x:c r="B12" s="91" t="n">
        <x:f>SUMIFS('Cell Lineage'!$X$4:$X$199,'Cell Lineage'!$A$4:$A$199,$A12,'Cell Lineage'!$D$4:$D$199,B$3)</x:f>
        <x:v>0.029525685571576196</x:v>
      </x:c>
      <x:c r="C12" s="92" t="n">
        <x:f>SUMIFS('Cell Lineage'!$X$4:$X$199,'Cell Lineage'!$A$4:$A$199,$A12,'Cell Lineage'!$D$4:$D$199,C$3)</x:f>
        <x:v>0.027707934804050868</x:v>
      </x:c>
      <x:c r="D12" s="92" t="n">
        <x:f>SUMIFS('Cell Lineage'!$X$4:$X$199,'Cell Lineage'!$A$4:$A$199,$A12,'Cell Lineage'!$D$4:$D$199,D$3)</x:f>
        <x:v>0.02251164550141431</x:v>
      </x:c>
      <x:c r="E12" s="92" t="n">
        <x:f>SUMIFS('Cell Lineage'!$X$4:$X$199,'Cell Lineage'!$A$4:$A$199,$A12,'Cell Lineage'!$D$4:$D$199,E$3)</x:f>
        <x:v>0.019610966383971615</x:v>
      </x:c>
      <x:c r="F12" s="92" t="n">
        <x:f>SUMIFS('Cell Lineage'!$X$4:$X$199,'Cell Lineage'!$A$4:$A$199,$A12,'Cell Lineage'!$D$4:$D$199,F$3)</x:f>
        <x:v>0.08412503388891732</x:v>
      </x:c>
      <x:c r="G12" s="92" t="n">
        <x:f>SUMIFS('Cell Lineage'!$X$4:$X$199,'Cell Lineage'!$A$4:$A$199,$A12,'Cell Lineage'!$D$4:$D$199,G$3)</x:f>
        <x:v>0.17886242918572</x:v>
      </x:c>
      <x:c r="H12" s="92" t="n">
        <x:f>SUMIFS('Cell Lineage'!$X$4:$X$199,'Cell Lineage'!$A$4:$A$199,$A12,'Cell Lineage'!$D$4:$D$199,H$3)</x:f>
        <x:v>0.06851133045773632</x:v>
      </x:c>
      <x:c r="I12" s="92" t="n">
        <x:f>SUMIFS('Cell Lineage'!$X$4:$X$199,'Cell Lineage'!$A$4:$A$199,$A12,'Cell Lineage'!$D$4:$D$199,I$3)</x:f>
        <x:v>0.0544267517469629</x:v>
      </x:c>
      <x:c r="J12" s="100" t="n">
        <x:f>SUMIFS('Cell Lineage'!$X$4:$X$199,'Cell Lineage'!$A$4:$A$199,$A12,'Cell Lineage'!$D$4:$D$199,J$3)</x:f>
        <x:v>0</x:v>
      </x:c>
      <x:c r="K12" s="92" t="n">
        <x:f>SUMIFS('Cell Lineage'!$X$4:$X$199,'Cell Lineage'!$A$4:$A$199,$A12,'Cell Lineage'!$D$4:$D$199,K$3)</x:f>
        <x:v>0.0021285087574499147</x:v>
      </x:c>
      <x:c r="L12" s="92" t="n">
        <x:f>SUMIFS('Cell Lineage'!$X$4:$X$199,'Cell Lineage'!$A$4:$A$199,$A12,'Cell Lineage'!$D$4:$D$199,L$3)</x:f>
        <x:v>0.011744429387299348</x:v>
      </x:c>
      <x:c r="M12" s="92" t="n">
        <x:f>SUMIFS('Cell Lineage'!$X$4:$X$199,'Cell Lineage'!$A$4:$A$199,$A12,'Cell Lineage'!$D$4:$D$199,M$3)</x:f>
        <x:v>0.0012007680385965275</x:v>
      </x:c>
      <x:c r="N12" s="92" t="n">
        <x:f>SUMIFS('Cell Lineage'!$X$4:$X$199,'Cell Lineage'!$A$4:$A$199,$A12,'Cell Lineage'!$D$4:$D$199,N$3)</x:f>
        <x:v>0.49667009159593645</x:v>
      </x:c>
      <x:c r="O12" s="93" t="n">
        <x:f>SUMIFS('Cell Lineage'!$X$4:$X$199,'Cell Lineage'!$A$4:$A$199,$A12,'Cell Lineage'!$D$4:$D$199,O$3)</x:f>
        <x:v>0.002974424680368332</x:v>
      </x:c>
    </x:row>
    <x:row r="13">
      <x:c r="A13" s="69" t="str">
        <x:v>NO</x:v>
      </x:c>
      <x:c r="B13" s="91" t="n">
        <x:f>SUMIFS('Cell Lineage'!$X$4:$X$199,'Cell Lineage'!$A$4:$A$199,$A13,'Cell Lineage'!$D$4:$D$199,B$3)</x:f>
        <x:v>0.028063592313345473</x:v>
      </x:c>
      <x:c r="C13" s="92" t="n">
        <x:f>SUMIFS('Cell Lineage'!$X$4:$X$199,'Cell Lineage'!$A$4:$A$199,$A13,'Cell Lineage'!$D$4:$D$199,C$3)</x:f>
        <x:v>0.007881874410653605</x:v>
      </x:c>
      <x:c r="D13" s="92" t="n">
        <x:f>SUMIFS('Cell Lineage'!$X$4:$X$199,'Cell Lineage'!$A$4:$A$199,$A13,'Cell Lineage'!$D$4:$D$199,D$3)</x:f>
        <x:v>0.034023615578325526</x:v>
      </x:c>
      <x:c r="E13" s="92" t="n">
        <x:f>SUMIFS('Cell Lineage'!$X$4:$X$199,'Cell Lineage'!$A$4:$A$199,$A13,'Cell Lineage'!$D$4:$D$199,E$3)</x:f>
        <x:v>0.03738312435644522</x:v>
      </x:c>
      <x:c r="F13" s="92" t="n">
        <x:f>SUMIFS('Cell Lineage'!$X$4:$X$199,'Cell Lineage'!$A$4:$A$199,$A13,'Cell Lineage'!$D$4:$D$199,F$3)</x:f>
        <x:v>0.02830419552762948</x:v>
      </x:c>
      <x:c r="G13" s="92" t="n">
        <x:f>SUMIFS('Cell Lineage'!$X$4:$X$199,'Cell Lineage'!$A$4:$A$199,$A13,'Cell Lineage'!$D$4:$D$199,G$3)</x:f>
        <x:v>0.27859209785126005</x:v>
      </x:c>
      <x:c r="H13" s="92" t="n">
        <x:f>SUMIFS('Cell Lineage'!$X$4:$X$199,'Cell Lineage'!$A$4:$A$199,$A13,'Cell Lineage'!$D$4:$D$199,H$3)</x:f>
        <x:v>0.08151177752528536</x:v>
      </x:c>
      <x:c r="I13" s="92" t="n">
        <x:f>SUMIFS('Cell Lineage'!$X$4:$X$199,'Cell Lineage'!$A$4:$A$199,$A13,'Cell Lineage'!$D$4:$D$199,I$3)</x:f>
        <x:v>0.09096830999341782</x:v>
      </x:c>
      <x:c r="J13" s="92" t="n">
        <x:f>SUMIFS('Cell Lineage'!$X$4:$X$199,'Cell Lineage'!$A$4:$A$199,$A13,'Cell Lineage'!$D$4:$D$199,J$3)</x:f>
        <x:v>0.020531614236333845</x:v>
      </x:c>
      <x:c r="K13" s="100" t="n">
        <x:f>SUMIFS('Cell Lineage'!$X$4:$X$199,'Cell Lineage'!$A$4:$A$199,$A13,'Cell Lineage'!$D$4:$D$199,K$3)</x:f>
        <x:v>0</x:v>
      </x:c>
      <x:c r="L13" s="92" t="n">
        <x:f>SUMIFS('Cell Lineage'!$X$4:$X$199,'Cell Lineage'!$A$4:$A$199,$A13,'Cell Lineage'!$D$4:$D$199,L$3)</x:f>
        <x:v>0.004915077351406004</x:v>
      </x:c>
      <x:c r="M13" s="92" t="n">
        <x:f>SUMIFS('Cell Lineage'!$X$4:$X$199,'Cell Lineage'!$A$4:$A$199,$A13,'Cell Lineage'!$D$4:$D$199,M$3)</x:f>
        <x:v>0.003023039013718697</x:v>
      </x:c>
      <x:c r="N13" s="92" t="n">
        <x:f>SUMIFS('Cell Lineage'!$X$4:$X$199,'Cell Lineage'!$A$4:$A$199,$A13,'Cell Lineage'!$D$4:$D$199,N$3)</x:f>
        <x:v>0.3778498277197113</x:v>
      </x:c>
      <x:c r="O13" s="93" t="n">
        <x:f>SUMIFS('Cell Lineage'!$X$4:$X$199,'Cell Lineage'!$A$4:$A$199,$A13,'Cell Lineage'!$D$4:$D$199,O$3)</x:f>
        <x:v>0.006951854122467583</x:v>
      </x:c>
    </x:row>
    <x:row r="14">
      <x:c r="A14" s="69" t="str">
        <x:v>SG</x:v>
      </x:c>
      <x:c r="B14" s="91" t="n">
        <x:f>SUMIFS('Cell Lineage'!$X$4:$X$199,'Cell Lineage'!$A$4:$A$199,$A14,'Cell Lineage'!$D$4:$D$199,B$3)</x:f>
        <x:v>0.03556047910447764</x:v>
      </x:c>
      <x:c r="C14" s="92" t="n">
        <x:f>SUMIFS('Cell Lineage'!$X$4:$X$199,'Cell Lineage'!$A$4:$A$199,$A14,'Cell Lineage'!$D$4:$D$199,C$3)</x:f>
        <x:v>0.002799225484358159</x:v>
      </x:c>
      <x:c r="D14" s="92" t="n">
        <x:f>SUMIFS('Cell Lineage'!$X$4:$X$199,'Cell Lineage'!$A$4:$A$199,$A14,'Cell Lineage'!$D$4:$D$199,D$3)</x:f>
        <x:v>0.026115966490448353</x:v>
      </x:c>
      <x:c r="E14" s="92" t="n">
        <x:f>SUMIFS('Cell Lineage'!$X$4:$X$199,'Cell Lineage'!$A$4:$A$199,$A14,'Cell Lineage'!$D$4:$D$199,E$3)</x:f>
        <x:v>0.018014733352720712</x:v>
      </x:c>
      <x:c r="F14" s="92" t="n">
        <x:f>SUMIFS('Cell Lineage'!$X$4:$X$199,'Cell Lineage'!$A$4:$A$199,$A14,'Cell Lineage'!$D$4:$D$199,F$3)</x:f>
        <x:v>0.21688884253353719</x:v>
      </x:c>
      <x:c r="G14" s="92" t="n">
        <x:f>SUMIFS('Cell Lineage'!$X$4:$X$199,'Cell Lineage'!$A$4:$A$199,$A14,'Cell Lineage'!$D$4:$D$199,G$3)</x:f>
        <x:v>0.10409174933130326</x:v>
      </x:c>
      <x:c r="H14" s="92" t="n">
        <x:f>SUMIFS('Cell Lineage'!$X$4:$X$199,'Cell Lineage'!$A$4:$A$199,$A14,'Cell Lineage'!$D$4:$D$199,H$3)</x:f>
        <x:v>0.05448121214239375</x:v>
      </x:c>
      <x:c r="I14" s="92" t="n">
        <x:f>SUMIFS('Cell Lineage'!$X$4:$X$199,'Cell Lineage'!$A$4:$A$199,$A14,'Cell Lineage'!$D$4:$D$199,I$3)</x:f>
        <x:v>0.05322690092511485</x:v>
      </x:c>
      <x:c r="J14" s="92" t="n">
        <x:f>SUMIFS('Cell Lineage'!$X$4:$X$199,'Cell Lineage'!$A$4:$A$199,$A14,'Cell Lineage'!$D$4:$D$199,J$3)</x:f>
        <x:v>0.05728141653293972</x:v>
      </x:c>
      <x:c r="K14" s="92" t="n">
        <x:f>SUMIFS('Cell Lineage'!$X$4:$X$199,'Cell Lineage'!$A$4:$A$199,$A14,'Cell Lineage'!$D$4:$D$199,K$3)</x:f>
        <x:v>0.00026483735014852587</x:v>
      </x:c>
      <x:c r="L14" s="100" t="n">
        <x:f>SUMIFS('Cell Lineage'!$X$4:$X$199,'Cell Lineage'!$A$4:$A$199,$A14,'Cell Lineage'!$D$4:$D$199,L$3)</x:f>
        <x:v>0</x:v>
      </x:c>
      <x:c r="M14" s="92" t="n">
        <x:f>SUMIFS('Cell Lineage'!$X$4:$X$199,'Cell Lineage'!$A$4:$A$199,$A14,'Cell Lineage'!$D$4:$D$199,M$3)</x:f>
        <x:v>0.000018568840015448502</x:v>
      </x:c>
      <x:c r="N14" s="92" t="n">
        <x:f>SUMIFS('Cell Lineage'!$X$4:$X$199,'Cell Lineage'!$A$4:$A$199,$A14,'Cell Lineage'!$D$4:$D$199,N$3)</x:f>
        <x:v>0.4308647048576718</x:v>
      </x:c>
      <x:c r="O14" s="93" t="n">
        <x:f>SUMIFS('Cell Lineage'!$X$4:$X$199,'Cell Lineage'!$A$4:$A$199,$A14,'Cell Lineage'!$D$4:$D$199,O$3)</x:f>
        <x:v>0.00039136305487058853</x:v>
      </x:c>
    </x:row>
    <x:row r="15">
      <x:c r="A15" s="69" t="str">
        <x:v>TR</x:v>
      </x:c>
      <x:c r="B15" s="91" t="n">
        <x:f>SUMIFS('Cell Lineage'!$X$4:$X$199,'Cell Lineage'!$A$4:$A$199,$A15,'Cell Lineage'!$D$4:$D$199,B$3)</x:f>
        <x:v>0.0027015997160462816</x:v>
      </x:c>
      <x:c r="C15" s="92" t="n">
        <x:f>SUMIFS('Cell Lineage'!$X$4:$X$199,'Cell Lineage'!$A$4:$A$199,$A15,'Cell Lineage'!$D$4:$D$199,C$3)</x:f>
        <x:v>0.026172462511996064</x:v>
      </x:c>
      <x:c r="D15" s="92" t="n">
        <x:f>SUMIFS('Cell Lineage'!$X$4:$X$199,'Cell Lineage'!$A$4:$A$199,$A15,'Cell Lineage'!$D$4:$D$199,D$3)</x:f>
        <x:v>0.017882007849572744</x:v>
      </x:c>
      <x:c r="E15" s="92" t="n">
        <x:f>SUMIFS('Cell Lineage'!$X$4:$X$199,'Cell Lineage'!$A$4:$A$199,$A15,'Cell Lineage'!$D$4:$D$199,E$3)</x:f>
        <x:v>0.018742464788113332</x:v>
      </x:c>
      <x:c r="F15" s="92" t="n">
        <x:f>SUMIFS('Cell Lineage'!$X$4:$X$199,'Cell Lineage'!$A$4:$A$199,$A15,'Cell Lineage'!$D$4:$D$199,F$3)</x:f>
        <x:v>0.051965367665253184</x:v>
      </x:c>
      <x:c r="G15" s="92" t="n">
        <x:f>SUMIFS('Cell Lineage'!$X$4:$X$199,'Cell Lineage'!$A$4:$A$199,$A15,'Cell Lineage'!$D$4:$D$199,G$3)</x:f>
        <x:v>0.17712033479918343</x:v>
      </x:c>
      <x:c r="H15" s="92" t="n">
        <x:f>SUMIFS('Cell Lineage'!$X$4:$X$199,'Cell Lineage'!$A$4:$A$199,$A15,'Cell Lineage'!$D$4:$D$199,H$3)</x:f>
        <x:v>0.05665000619019364</x:v>
      </x:c>
      <x:c r="I15" s="92" t="n">
        <x:f>SUMIFS('Cell Lineage'!$X$4:$X$199,'Cell Lineage'!$A$4:$A$199,$A15,'Cell Lineage'!$D$4:$D$199,I$3)</x:f>
        <x:v>0.00854606710277027</x:v>
      </x:c>
      <x:c r="J15" s="92" t="n">
        <x:f>SUMIFS('Cell Lineage'!$X$4:$X$199,'Cell Lineage'!$A$4:$A$199,$A15,'Cell Lineage'!$D$4:$D$199,J$3)</x:f>
        <x:v>0.0008755175558761776</x:v>
      </x:c>
      <x:c r="K15" s="92" t="n">
        <x:f>SUMIFS('Cell Lineage'!$X$4:$X$199,'Cell Lineage'!$A$4:$A$199,$A15,'Cell Lineage'!$D$4:$D$199,K$3)</x:f>
        <x:v>0.0002740463640302454</x:v>
      </x:c>
      <x:c r="L15" s="92" t="n">
        <x:f>SUMIFS('Cell Lineage'!$X$4:$X$199,'Cell Lineage'!$A$4:$A$199,$A15,'Cell Lineage'!$D$4:$D$199,L$3)</x:f>
        <x:v>0.0023170164645350735</x:v>
      </x:c>
      <x:c r="M15" s="100" t="n">
        <x:f>SUMIFS('Cell Lineage'!$X$4:$X$199,'Cell Lineage'!$A$4:$A$199,$A15,'Cell Lineage'!$D$4:$D$199,M$3)</x:f>
        <x:v>0</x:v>
      </x:c>
      <x:c r="N15" s="92" t="n">
        <x:f>SUMIFS('Cell Lineage'!$X$4:$X$199,'Cell Lineage'!$A$4:$A$199,$A15,'Cell Lineage'!$D$4:$D$199,N$3)</x:f>
        <x:v>0.6362375713869115</x:v>
      </x:c>
      <x:c r="O15" s="93" t="n">
        <x:f>SUMIFS('Cell Lineage'!$X$4:$X$199,'Cell Lineage'!$A$4:$A$199,$A15,'Cell Lineage'!$D$4:$D$199,O$3)</x:f>
        <x:v>0.0005155376055180828</x:v>
      </x:c>
    </x:row>
    <x:row r="16">
      <x:c r="A16" s="69" t="str">
        <x:v>US</x:v>
      </x:c>
      <x:c r="B16" s="91" t="n">
        <x:f>SUMIFS('Cell Lineage'!$X$4:$X$199,'Cell Lineage'!$A$4:$A$199,$A16,'Cell Lineage'!$D$4:$D$199,B$3)</x:f>
        <x:v>0.04266737991274516</x:v>
      </x:c>
      <x:c r="C16" s="92" t="n">
        <x:f>SUMIFS('Cell Lineage'!$X$4:$X$199,'Cell Lineage'!$A$4:$A$199,$A16,'Cell Lineage'!$D$4:$D$199,C$3)</x:f>
        <x:v>0.02293621632221333</x:v>
      </x:c>
      <x:c r="D16" s="92" t="n">
        <x:f>SUMIFS('Cell Lineage'!$X$4:$X$199,'Cell Lineage'!$A$4:$A$199,$A16,'Cell Lineage'!$D$4:$D$199,D$3)</x:f>
        <x:v>0.11815818740053614</x:v>
      </x:c>
      <x:c r="E16" s="92" t="n">
        <x:f>SUMIFS('Cell Lineage'!$X$4:$X$199,'Cell Lineage'!$A$4:$A$199,$A16,'Cell Lineage'!$D$4:$D$199,E$3)</x:f>
        <x:v>0.05848523046383858</x:v>
      </x:c>
      <x:c r="F16" s="92" t="n">
        <x:f>SUMIFS('Cell Lineage'!$X$4:$X$199,'Cell Lineage'!$A$4:$A$199,$A16,'Cell Lineage'!$D$4:$D$199,F$3)</x:f>
        <x:v>0.09264808477418217</x:v>
      </x:c>
      <x:c r="G16" s="92" t="n">
        <x:f>SUMIFS('Cell Lineage'!$X$4:$X$199,'Cell Lineage'!$A$4:$A$199,$A16,'Cell Lineage'!$D$4:$D$199,G$3)</x:f>
        <x:v>0.2870802224323264</x:v>
      </x:c>
      <x:c r="H16" s="92" t="n">
        <x:f>SUMIFS('Cell Lineage'!$X$4:$X$199,'Cell Lineage'!$A$4:$A$199,$A16,'Cell Lineage'!$D$4:$D$199,H$3)</x:f>
        <x:v>0.16987784410478207</x:v>
      </x:c>
      <x:c r="I16" s="92" t="n">
        <x:f>SUMIFS('Cell Lineage'!$X$4:$X$199,'Cell Lineage'!$A$4:$A$199,$A16,'Cell Lineage'!$D$4:$D$199,I$3)</x:f>
        <x:v>0.14143460545691905</x:v>
      </x:c>
      <x:c r="J16" s="92" t="n">
        <x:f>SUMIFS('Cell Lineage'!$X$4:$X$199,'Cell Lineage'!$A$4:$A$199,$A16,'Cell Lineage'!$D$4:$D$199,J$3)</x:f>
        <x:v>0.030281826743729458</x:v>
      </x:c>
      <x:c r="K16" s="92" t="n">
        <x:f>SUMIFS('Cell Lineage'!$X$4:$X$199,'Cell Lineage'!$A$4:$A$199,$A16,'Cell Lineage'!$D$4:$D$199,K$3)</x:f>
        <x:v>0.008962426965888486</x:v>
      </x:c>
      <x:c r="L16" s="92" t="n">
        <x:f>SUMIFS('Cell Lineage'!$X$4:$X$199,'Cell Lineage'!$A$4:$A$199,$A16,'Cell Lineage'!$D$4:$D$199,L$3)</x:f>
        <x:v>0.007999792080744531</x:v>
      </x:c>
      <x:c r="M16" s="92" t="n">
        <x:f>SUMIFS('Cell Lineage'!$X$4:$X$199,'Cell Lineage'!$A$4:$A$199,$A16,'Cell Lineage'!$D$4:$D$199,M$3)</x:f>
        <x:v>0.004733934968573609</x:v>
      </x:c>
      <x:c r="N16" s="100" t="n">
        <x:f>SUMIFS('Cell Lineage'!$X$4:$X$199,'Cell Lineage'!$A$4:$A$199,$A16,'Cell Lineage'!$D$4:$D$199,N$3)</x:f>
        <x:v>0</x:v>
      </x:c>
      <x:c r="O16" s="93" t="n">
        <x:f>SUMIFS('Cell Lineage'!$X$4:$X$199,'Cell Lineage'!$A$4:$A$199,$A16,'Cell Lineage'!$D$4:$D$199,O$3)</x:f>
        <x:v>0.014734248373521013</x:v>
      </x:c>
    </x:row>
    <x:row r="17">
      <x:c r="A17" s="69" t="str">
        <x:v>ZA</x:v>
      </x:c>
      <x:c r="B17" s="94" t="n">
        <x:f>SUMIFS('Cell Lineage'!$X$4:$X$199,'Cell Lineage'!$A$4:$A$199,$A17,'Cell Lineage'!$D$4:$D$199,B$3)</x:f>
        <x:v>0.010144076076203861</x:v>
      </x:c>
      <x:c r="C17" s="95" t="n">
        <x:f>SUMIFS('Cell Lineage'!$X$4:$X$199,'Cell Lineage'!$A$4:$A$199,$A17,'Cell Lineage'!$D$4:$D$199,C$3)</x:f>
        <x:v>0.004485279028293063</x:v>
      </x:c>
      <x:c r="D17" s="95" t="n">
        <x:f>SUMIFS('Cell Lineage'!$X$4:$X$199,'Cell Lineage'!$A$4:$A$199,$A17,'Cell Lineage'!$D$4:$D$199,D$3)</x:f>
        <x:v>0.01588279050573389</x:v>
      </x:c>
      <x:c r="E17" s="95" t="n">
        <x:f>SUMIFS('Cell Lineage'!$X$4:$X$199,'Cell Lineage'!$A$4:$A$199,$A17,'Cell Lineage'!$D$4:$D$199,E$3)</x:f>
        <x:v>0.008950499726241871</x:v>
      </x:c>
      <x:c r="F17" s="95" t="n">
        <x:f>SUMIFS('Cell Lineage'!$X$4:$X$199,'Cell Lineage'!$A$4:$A$199,$A17,'Cell Lineage'!$D$4:$D$199,F$3)</x:f>
        <x:v>0.02155514266600556</x:v>
      </x:c>
      <x:c r="G17" s="95" t="n">
        <x:f>SUMIFS('Cell Lineage'!$X$4:$X$199,'Cell Lineage'!$A$4:$A$199,$A17,'Cell Lineage'!$D$4:$D$199,G$3)</x:f>
        <x:v>0.3155786309638092</x:v>
      </x:c>
      <x:c r="H17" s="95" t="n">
        <x:f>SUMIFS('Cell Lineage'!$X$4:$X$199,'Cell Lineage'!$A$4:$A$199,$A17,'Cell Lineage'!$D$4:$D$199,H$3)</x:f>
        <x:v>0.397905252177273</x:v>
      </x:c>
      <x:c r="I17" s="95" t="n">
        <x:f>SUMIFS('Cell Lineage'!$X$4:$X$199,'Cell Lineage'!$A$4:$A$199,$A17,'Cell Lineage'!$D$4:$D$199,I$3)</x:f>
        <x:v>0.007328068428407412</x:v>
      </x:c>
      <x:c r="J17" s="95" t="n">
        <x:f>SUMIFS('Cell Lineage'!$X$4:$X$199,'Cell Lineage'!$A$4:$A$199,$A17,'Cell Lineage'!$D$4:$D$199,J$3)</x:f>
        <x:v>0.0002696007981828755</x:v>
      </x:c>
      <x:c r="K17" s="95" t="n">
        <x:f>SUMIFS('Cell Lineage'!$X$4:$X$199,'Cell Lineage'!$A$4:$A$199,$A17,'Cell Lineage'!$D$4:$D$199,K$3)</x:f>
        <x:v>0.001151927954125063</x:v>
      </x:c>
      <x:c r="L17" s="95" t="n">
        <x:f>SUMIFS('Cell Lineage'!$X$4:$X$199,'Cell Lineage'!$A$4:$A$199,$A17,'Cell Lineage'!$D$4:$D$199,L$3)</x:f>
        <x:v>0.012264310296882214</x:v>
      </x:c>
      <x:c r="M17" s="95" t="n">
        <x:f>SUMIFS('Cell Lineage'!$X$4:$X$199,'Cell Lineage'!$A$4:$A$199,$A17,'Cell Lineage'!$D$4:$D$199,M$3)</x:f>
        <x:v>0.00039130826615312096</x:v>
      </x:c>
      <x:c r="N17" s="95" t="n">
        <x:f>SUMIFS('Cell Lineage'!$X$4:$X$199,'Cell Lineage'!$A$4:$A$199,$A17,'Cell Lineage'!$D$4:$D$199,N$3)</x:f>
        <x:v>0.20409311311268877</x:v>
      </x:c>
      <x:c r="O17" s="102" t="n">
        <x:f>SUMIFS('Cell Lineage'!$X$4:$X$199,'Cell Lineage'!$A$4:$A$199,$A17,'Cell Lineage'!$D$4:$D$199,O$3)</x:f>
        <x:v>0</x:v>
      </x:c>
    </x:row>
    <x:row r="19">
      <x:c r="A19" s="8" t="str">
        <x:v>Source and transformation details are in Cell Lineage. Values are shares, not percentages; 0.500000 means 50%.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</x:row>
  </x:sheetData>
  <x:mergeCells>
    <x:mergeCell ref="A1:O1"/>
    <x:mergeCell ref="A2:O2"/>
    <x:mergeCell ref="A19:O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8" customHeight="1">
      <x:c r="A1" s="4" t="str">
        <x:v>W Residency Basis — 14×14</x:v>
      </x:c>
      <x:c r="B1" s="4" t="str">
        <x:v>W Residency Basis — 14×14</x:v>
      </x:c>
      <x:c r="C1" s="4" t="str">
        <x:v>W Residency Basis — 14×14</x:v>
      </x:c>
      <x:c r="D1" s="4" t="str">
        <x:v>W Residency Basis — 14×14</x:v>
      </x:c>
      <x:c r="E1" s="4" t="str">
        <x:v>W Residency Basis — 14×14</x:v>
      </x:c>
      <x:c r="F1" s="4" t="str">
        <x:v>W Residency Basis — 14×14</x:v>
      </x:c>
      <x:c r="G1" s="4" t="str">
        <x:v>W Residency Basis — 14×14</x:v>
      </x:c>
      <x:c r="H1" s="4" t="str">
        <x:v>W Residency Basis — 14×14</x:v>
      </x:c>
      <x:c r="I1" s="4" t="str">
        <x:v>W Residency Basis — 14×14</x:v>
      </x:c>
      <x:c r="J1" s="4" t="str">
        <x:v>W Residency Basis — 14×14</x:v>
      </x:c>
      <x:c r="K1" s="4" t="str">
        <x:v>W Residency Basis — 14×14</x:v>
      </x:c>
      <x:c r="L1" s="4" t="str">
        <x:v>W Residency Basis — 14×14</x:v>
      </x:c>
      <x:c r="M1" s="4" t="str">
        <x:v>W Residency Basis — 14×14</x:v>
      </x:c>
      <x:c r="N1" s="4" t="str">
        <x:v>W Residency Basis — 14×14</x:v>
      </x:c>
      <x:c r="O1" s="4" t="str">
        <x:v>W Residency Basis — 14×14</x:v>
      </x:c>
    </x:row>
    <x:row r="2">
      <x:c r="A2" s="8" t="str">
        <x:v>Sensitivity matrix: residency-basis portfolio positions as distributed by GCAP. Rows are investors; columns are issuers/exposure destinations. Diagonal = 0; row sum = 1.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4" customHeight="1">
      <x:c r="A3" s="20" t="str">
        <x:v>Investor / Issuer</x:v>
      </x:c>
      <x:c r="B3" s="21" t="str">
        <x:v>AU</x:v>
      </x:c>
      <x:c r="C3" s="21" t="str">
        <x:v>BR</x:v>
      </x:c>
      <x:c r="D3" s="21" t="str">
        <x:v>CA</x:v>
      </x:c>
      <x:c r="E3" s="21" t="str">
        <x:v>CH</x:v>
      </x:c>
      <x:c r="F3" s="21" t="str">
        <x:v>CN</x:v>
      </x:c>
      <x:c r="G3" s="21" t="str">
        <x:v>EA</x:v>
      </x:c>
      <x:c r="H3" s="21" t="str">
        <x:v>UK</x:v>
      </x:c>
      <x:c r="I3" s="21" t="str">
        <x:v>JP</x:v>
      </x:c>
      <x:c r="J3" s="21" t="str">
        <x:v>KR</x:v>
      </x:c>
      <x:c r="K3" s="21" t="str">
        <x:v>NO</x:v>
      </x:c>
      <x:c r="L3" s="21" t="str">
        <x:v>SG</x:v>
      </x:c>
      <x:c r="M3" s="21" t="str">
        <x:v>TR</x:v>
      </x:c>
      <x:c r="N3" s="21" t="str">
        <x:v>US</x:v>
      </x:c>
      <x:c r="O3" s="22" t="str">
        <x:v>ZA</x:v>
      </x:c>
    </x:row>
    <x:row r="4">
      <x:c r="A4" s="69" t="str">
        <x:v>AU</x:v>
      </x:c>
      <x:c r="B4" s="98" t="n">
        <x:f>SUMIFS('Cell Lineage'!$Y$4:$Y$199,'Cell Lineage'!$A$4:$A$199,$A4,'Cell Lineage'!$D$4:$D$199,B$3)</x:f>
        <x:v>0</x:v>
      </x:c>
      <x:c r="C4" s="89" t="n">
        <x:f>SUMIFS('Cell Lineage'!$Y$4:$Y$199,'Cell Lineage'!$A$4:$A$199,$A4,'Cell Lineage'!$D$4:$D$199,C$3)</x:f>
        <x:v>0.0058462476981976375</x:v>
      </x:c>
      <x:c r="D4" s="89" t="n">
        <x:f>SUMIFS('Cell Lineage'!$Y$4:$Y$199,'Cell Lineage'!$A$4:$A$199,$A4,'Cell Lineage'!$D$4:$D$199,D$3)</x:f>
        <x:v>0.037807245765045315</x:v>
      </x:c>
      <x:c r="E4" s="89" t="n">
        <x:f>SUMIFS('Cell Lineage'!$Y$4:$Y$199,'Cell Lineage'!$A$4:$A$199,$A4,'Cell Lineage'!$D$4:$D$199,E$3)</x:f>
        <x:v>0.021148566033248998</x:v>
      </x:c>
      <x:c r="F4" s="89" t="n">
        <x:f>SUMIFS('Cell Lineage'!$Y$4:$Y$199,'Cell Lineage'!$A$4:$A$199,$A4,'Cell Lineage'!$D$4:$D$199,F$3)</x:f>
        <x:v>0.018327367677257032</x:v>
      </x:c>
      <x:c r="G4" s="89" t="n">
        <x:f>SUMIFS('Cell Lineage'!$Y$4:$Y$199,'Cell Lineage'!$A$4:$A$199,$A4,'Cell Lineage'!$D$4:$D$199,G$3)</x:f>
        <x:v>0.17615047960607833</x:v>
      </x:c>
      <x:c r="H4" s="89" t="n">
        <x:f>SUMIFS('Cell Lineage'!$Y$4:$Y$199,'Cell Lineage'!$A$4:$A$199,$A4,'Cell Lineage'!$D$4:$D$199,H$3)</x:f>
        <x:v>0.08863538249778653</x:v>
      </x:c>
      <x:c r="I4" s="89" t="n">
        <x:f>SUMIFS('Cell Lineage'!$Y$4:$Y$199,'Cell Lineage'!$A$4:$A$199,$A4,'Cell Lineage'!$D$4:$D$199,I$3)</x:f>
        <x:v>0.06973301021166659</x:v>
      </x:c>
      <x:c r="J4" s="89" t="n">
        <x:f>SUMIFS('Cell Lineage'!$Y$4:$Y$199,'Cell Lineage'!$A$4:$A$199,$A4,'Cell Lineage'!$D$4:$D$199,J$3)</x:f>
        <x:v>0.017467845784788927</x:v>
      </x:c>
      <x:c r="K4" s="89" t="n">
        <x:f>SUMIFS('Cell Lineage'!$Y$4:$Y$199,'Cell Lineage'!$A$4:$A$199,$A4,'Cell Lineage'!$D$4:$D$199,K$3)</x:f>
        <x:v>0.009190357569750165</x:v>
      </x:c>
      <x:c r="L4" s="89" t="n">
        <x:f>SUMIFS('Cell Lineage'!$Y$4:$Y$199,'Cell Lineage'!$A$4:$A$199,$A4,'Cell Lineage'!$D$4:$D$199,L$3)</x:f>
        <x:v>0.01442231910540369</x:v>
      </x:c>
      <x:c r="M4" s="89" t="n">
        <x:f>SUMIFS('Cell Lineage'!$Y$4:$Y$199,'Cell Lineage'!$A$4:$A$199,$A4,'Cell Lineage'!$D$4:$D$199,M$3)</x:f>
        <x:v>0.0013180305226820513</x:v>
      </x:c>
      <x:c r="N4" s="89" t="n">
        <x:f>SUMIFS('Cell Lineage'!$Y$4:$Y$199,'Cell Lineage'!$A$4:$A$199,$A4,'Cell Lineage'!$D$4:$D$199,N$3)</x:f>
        <x:v>0.5361674601776293</x:v>
      </x:c>
      <x:c r="O4" s="90" t="n">
        <x:f>SUMIFS('Cell Lineage'!$Y$4:$Y$199,'Cell Lineage'!$A$4:$A$199,$A4,'Cell Lineage'!$D$4:$D$199,O$3)</x:f>
        <x:v>0.0037856873504654347</x:v>
      </x:c>
    </x:row>
    <x:row r="5">
      <x:c r="A5" s="69" t="str">
        <x:v>BR</x:v>
      </x:c>
      <x:c r="B5" s="91" t="n">
        <x:f>SUMIFS('Cell Lineage'!$Y$4:$Y$199,'Cell Lineage'!$A$4:$A$199,$A5,'Cell Lineage'!$D$4:$D$199,B$3)</x:f>
        <x:v>0.0005074383052476192</x:v>
      </x:c>
      <x:c r="C5" s="100" t="n">
        <x:f>SUMIFS('Cell Lineage'!$Y$4:$Y$199,'Cell Lineage'!$A$4:$A$199,$A5,'Cell Lineage'!$D$4:$D$199,C$3)</x:f>
        <x:v>0</x:v>
      </x:c>
      <x:c r="D5" s="92" t="n">
        <x:f>SUMIFS('Cell Lineage'!$Y$4:$Y$199,'Cell Lineage'!$A$4:$A$199,$A5,'Cell Lineage'!$D$4:$D$199,D$3)</x:f>
        <x:v>0.004682749033193967</x:v>
      </x:c>
      <x:c r="E5" s="92" t="n">
        <x:f>SUMIFS('Cell Lineage'!$Y$4:$Y$199,'Cell Lineage'!$A$4:$A$199,$A5,'Cell Lineage'!$D$4:$D$199,E$3)</x:f>
        <x:v>0.0950297006721688</x:v>
      </x:c>
      <x:c r="F5" s="92" t="n">
        <x:f>SUMIFS('Cell Lineage'!$Y$4:$Y$199,'Cell Lineage'!$A$4:$A$199,$A5,'Cell Lineage'!$D$4:$D$199,F$3)</x:f>
        <x:v>0.00030208152545475994</x:v>
      </x:c>
      <x:c r="G5" s="92" t="n">
        <x:f>SUMIFS('Cell Lineage'!$Y$4:$Y$199,'Cell Lineage'!$A$4:$A$199,$A5,'Cell Lineage'!$D$4:$D$199,G$3)</x:f>
        <x:v>0.30927169387673525</x:v>
      </x:c>
      <x:c r="H5" s="92" t="n">
        <x:f>SUMIFS('Cell Lineage'!$Y$4:$Y$199,'Cell Lineage'!$A$4:$A$199,$A5,'Cell Lineage'!$D$4:$D$199,H$3)</x:f>
        <x:v>0.023273230409839196</x:v>
      </x:c>
      <x:c r="I5" s="92" t="n">
        <x:f>SUMIFS('Cell Lineage'!$Y$4:$Y$199,'Cell Lineage'!$A$4:$A$199,$A5,'Cell Lineage'!$D$4:$D$199,I$3)</x:f>
        <x:v>0.001041685280435469</x:v>
      </x:c>
      <x:c r="J5" s="92" t="n">
        <x:f>SUMIFS('Cell Lineage'!$Y$4:$Y$199,'Cell Lineage'!$A$4:$A$199,$A5,'Cell Lineage'!$D$4:$D$199,J$3)</x:f>
        <x:v>0.019502348686752286</x:v>
      </x:c>
      <x:c r="K5" s="92" t="n">
        <x:f>SUMIFS('Cell Lineage'!$Y$4:$Y$199,'Cell Lineage'!$A$4:$A$199,$A5,'Cell Lineage'!$D$4:$D$199,K$3)</x:f>
        <x:v>0.00028027232340228935</x:v>
      </x:c>
      <x:c r="L5" s="92" t="n">
        <x:f>SUMIFS('Cell Lineage'!$Y$4:$Y$199,'Cell Lineage'!$A$4:$A$199,$A5,'Cell Lineage'!$D$4:$D$199,L$3)</x:f>
        <x:v>0.001394679731904241</x:v>
      </x:c>
      <x:c r="M5" s="92" t="n">
        <x:f>SUMIFS('Cell Lineage'!$Y$4:$Y$199,'Cell Lineage'!$A$4:$A$199,$A5,'Cell Lineage'!$D$4:$D$199,M$3)</x:f>
        <x:v>0.0001841888083971039</x:v>
      </x:c>
      <x:c r="N5" s="92" t="n">
        <x:f>SUMIFS('Cell Lineage'!$Y$4:$Y$199,'Cell Lineage'!$A$4:$A$199,$A5,'Cell Lineage'!$D$4:$D$199,N$3)</x:f>
        <x:v>0.5444369132833294</x:v>
      </x:c>
      <x:c r="O5" s="93" t="n">
        <x:f>SUMIFS('Cell Lineage'!$Y$4:$Y$199,'Cell Lineage'!$A$4:$A$199,$A5,'Cell Lineage'!$D$4:$D$199,O$3)</x:f>
        <x:v>0.00009301806313960342</x:v>
      </x:c>
    </x:row>
    <x:row r="6">
      <x:c r="A6" s="69" t="str">
        <x:v>CA</x:v>
      </x:c>
      <x:c r="B6" s="91" t="n">
        <x:f>SUMIFS('Cell Lineage'!$Y$4:$Y$199,'Cell Lineage'!$A$4:$A$199,$A6,'Cell Lineage'!$D$4:$D$199,B$3)</x:f>
        <x:v>0.017375603734376768</x:v>
      </x:c>
      <x:c r="C6" s="92" t="n">
        <x:f>SUMIFS('Cell Lineage'!$Y$4:$Y$199,'Cell Lineage'!$A$4:$A$199,$A6,'Cell Lineage'!$D$4:$D$199,C$3)</x:f>
        <x:v>0.009610497668896295</x:v>
      </x:c>
      <x:c r="D6" s="100" t="n">
        <x:f>SUMIFS('Cell Lineage'!$Y$4:$Y$199,'Cell Lineage'!$A$4:$A$199,$A6,'Cell Lineage'!$D$4:$D$199,D$3)</x:f>
        <x:v>0</x:v>
      </x:c>
      <x:c r="E6" s="92" t="n">
        <x:f>SUMIFS('Cell Lineage'!$Y$4:$Y$199,'Cell Lineage'!$A$4:$A$199,$A6,'Cell Lineage'!$D$4:$D$199,E$3)</x:f>
        <x:v>0.02083112832964293</x:v>
      </x:c>
      <x:c r="F6" s="92" t="n">
        <x:f>SUMIFS('Cell Lineage'!$Y$4:$Y$199,'Cell Lineage'!$A$4:$A$199,$A6,'Cell Lineage'!$D$4:$D$199,F$3)</x:f>
        <x:v>0.023047484514324604</x:v>
      </x:c>
      <x:c r="G6" s="92" t="n">
        <x:f>SUMIFS('Cell Lineage'!$Y$4:$Y$199,'Cell Lineage'!$A$4:$A$199,$A6,'Cell Lineage'!$D$4:$D$199,G$3)</x:f>
        <x:v>0.11487326948690574</x:v>
      </x:c>
      <x:c r="H6" s="92" t="n">
        <x:f>SUMIFS('Cell Lineage'!$Y$4:$Y$199,'Cell Lineage'!$A$4:$A$199,$A6,'Cell Lineage'!$D$4:$D$199,H$3)</x:f>
        <x:v>0.06406998445930864</x:v>
      </x:c>
      <x:c r="I6" s="92" t="n">
        <x:f>SUMIFS('Cell Lineage'!$Y$4:$Y$199,'Cell Lineage'!$A$4:$A$199,$A6,'Cell Lineage'!$D$4:$D$199,I$3)</x:f>
        <x:v>0.04659535204433967</x:v>
      </x:c>
      <x:c r="J6" s="92" t="n">
        <x:f>SUMIFS('Cell Lineage'!$Y$4:$Y$199,'Cell Lineage'!$A$4:$A$199,$A6,'Cell Lineage'!$D$4:$D$199,J$3)</x:f>
        <x:v>0.014692398055474945</x:v>
      </x:c>
      <x:c r="K6" s="92" t="n">
        <x:f>SUMIFS('Cell Lineage'!$Y$4:$Y$199,'Cell Lineage'!$A$4:$A$199,$A6,'Cell Lineage'!$D$4:$D$199,K$3)</x:f>
        <x:v>0.004138770095224721</x:v>
      </x:c>
      <x:c r="L6" s="92" t="n">
        <x:f>SUMIFS('Cell Lineage'!$Y$4:$Y$199,'Cell Lineage'!$A$4:$A$199,$A6,'Cell Lineage'!$D$4:$D$199,L$3)</x:f>
        <x:v>0.0039779139844215855</x:v>
      </x:c>
      <x:c r="M6" s="92" t="n">
        <x:f>SUMIFS('Cell Lineage'!$Y$4:$Y$199,'Cell Lineage'!$A$4:$A$199,$A6,'Cell Lineage'!$D$4:$D$199,M$3)</x:f>
        <x:v>0.002026158242591973</x:v>
      </x:c>
      <x:c r="N6" s="92" t="n">
        <x:f>SUMIFS('Cell Lineage'!$Y$4:$Y$199,'Cell Lineage'!$A$4:$A$199,$A6,'Cell Lineage'!$D$4:$D$199,N$3)</x:f>
        <x:v>0.673710976674292</x:v>
      </x:c>
      <x:c r="O6" s="93" t="n">
        <x:f>SUMIFS('Cell Lineage'!$Y$4:$Y$199,'Cell Lineage'!$A$4:$A$199,$A6,'Cell Lineage'!$D$4:$D$199,O$3)</x:f>
        <x:v>0.005050462710200168</x:v>
      </x:c>
    </x:row>
    <x:row r="7">
      <x:c r="A7" s="69" t="str">
        <x:v>CH</x:v>
      </x:c>
      <x:c r="B7" s="91" t="n">
        <x:f>SUMIFS('Cell Lineage'!$Y$4:$Y$199,'Cell Lineage'!$A$4:$A$199,$A7,'Cell Lineage'!$D$4:$D$199,B$3)</x:f>
        <x:v>0.02333563299676447</x:v>
      </x:c>
      <x:c r="C7" s="92" t="n">
        <x:f>SUMIFS('Cell Lineage'!$Y$4:$Y$199,'Cell Lineage'!$A$4:$A$199,$A7,'Cell Lineage'!$D$4:$D$199,C$3)</x:f>
        <x:v>0.0035855468104896825</x:v>
      </x:c>
      <x:c r="D7" s="92" t="n">
        <x:f>SUMIFS('Cell Lineage'!$Y$4:$Y$199,'Cell Lineage'!$A$4:$A$199,$A7,'Cell Lineage'!$D$4:$D$199,D$3)</x:f>
        <x:v>0.03402105347163467</x:v>
      </x:c>
      <x:c r="E7" s="100" t="n">
        <x:f>SUMIFS('Cell Lineage'!$Y$4:$Y$199,'Cell Lineage'!$A$4:$A$199,$A7,'Cell Lineage'!$D$4:$D$199,E$3)</x:f>
        <x:v>0</x:v>
      </x:c>
      <x:c r="F7" s="92" t="n">
        <x:f>SUMIFS('Cell Lineage'!$Y$4:$Y$199,'Cell Lineage'!$A$4:$A$199,$A7,'Cell Lineage'!$D$4:$D$199,F$3)</x:f>
        <x:v>0.0053064473209786045</x:v>
      </x:c>
      <x:c r="G7" s="92" t="n">
        <x:f>SUMIFS('Cell Lineage'!$Y$4:$Y$199,'Cell Lineage'!$A$4:$A$199,$A7,'Cell Lineage'!$D$4:$D$199,G$3)</x:f>
        <x:v>0.5297614607592978</x:v>
      </x:c>
      <x:c r="H7" s="92" t="n">
        <x:f>SUMIFS('Cell Lineage'!$Y$4:$Y$199,'Cell Lineage'!$A$4:$A$199,$A7,'Cell Lineage'!$D$4:$D$199,H$3)</x:f>
        <x:v>0.07217387452027783</x:v>
      </x:c>
      <x:c r="I7" s="92" t="n">
        <x:f>SUMIFS('Cell Lineage'!$Y$4:$Y$199,'Cell Lineage'!$A$4:$A$199,$A7,'Cell Lineage'!$D$4:$D$199,I$3)</x:f>
        <x:v>0.028061242180267645</x:v>
      </x:c>
      <x:c r="J7" s="92" t="n">
        <x:f>SUMIFS('Cell Lineage'!$Y$4:$Y$199,'Cell Lineage'!$A$4:$A$199,$A7,'Cell Lineage'!$D$4:$D$199,J$3)</x:f>
        <x:v>0.009759421963594396</x:v>
      </x:c>
      <x:c r="K7" s="92" t="n">
        <x:f>SUMIFS('Cell Lineage'!$Y$4:$Y$199,'Cell Lineage'!$A$4:$A$199,$A7,'Cell Lineage'!$D$4:$D$199,K$3)</x:f>
        <x:v>0.007455625658211635</x:v>
      </x:c>
      <x:c r="L7" s="92" t="n">
        <x:f>SUMIFS('Cell Lineage'!$Y$4:$Y$199,'Cell Lineage'!$A$4:$A$199,$A7,'Cell Lineage'!$D$4:$D$199,L$3)</x:f>
        <x:v>0.003986061283049859</x:v>
      </x:c>
      <x:c r="M7" s="92" t="n">
        <x:f>SUMIFS('Cell Lineage'!$Y$4:$Y$199,'Cell Lineage'!$A$4:$A$199,$A7,'Cell Lineage'!$D$4:$D$199,M$3)</x:f>
        <x:v>0.0015970987411369065</x:v>
      </x:c>
      <x:c r="N7" s="92" t="n">
        <x:f>SUMIFS('Cell Lineage'!$Y$4:$Y$199,'Cell Lineage'!$A$4:$A$199,$A7,'Cell Lineage'!$D$4:$D$199,N$3)</x:f>
        <x:v>0.27827701930665594</x:v>
      </x:c>
      <x:c r="O7" s="93" t="n">
        <x:f>SUMIFS('Cell Lineage'!$Y$4:$Y$199,'Cell Lineage'!$A$4:$A$199,$A7,'Cell Lineage'!$D$4:$D$199,O$3)</x:f>
        <x:v>0.00267951498764063</x:v>
      </x:c>
    </x:row>
    <x:row r="8">
      <x:c r="A8" s="69" t="str">
        <x:v>CN</x:v>
      </x:c>
      <x:c r="B8" s="91" t="n">
        <x:f>SUMIFS('Cell Lineage'!$Y$4:$Y$199,'Cell Lineage'!$A$4:$A$199,$A8,'Cell Lineage'!$D$4:$D$199,B$3)</x:f>
        <x:v>0.037056028933525845</x:v>
      </x:c>
      <x:c r="C8" s="92" t="n">
        <x:f>SUMIFS('Cell Lineage'!$Y$4:$Y$199,'Cell Lineage'!$A$4:$A$199,$A8,'Cell Lineage'!$D$4:$D$199,C$3)</x:f>
        <x:v>0.007606215261242549</x:v>
      </x:c>
      <x:c r="D8" s="92" t="n">
        <x:f>SUMIFS('Cell Lineage'!$Y$4:$Y$199,'Cell Lineage'!$A$4:$A$199,$A8,'Cell Lineage'!$D$4:$D$199,D$3)</x:f>
        <x:v>0.023551623822032505</x:v>
      </x:c>
      <x:c r="E8" s="92" t="n">
        <x:f>SUMIFS('Cell Lineage'!$Y$4:$Y$199,'Cell Lineage'!$A$4:$A$199,$A8,'Cell Lineage'!$D$4:$D$199,E$3)</x:f>
        <x:v>0.020819707987050188</x:v>
      </x:c>
      <x:c r="F8" s="100" t="n">
        <x:f>SUMIFS('Cell Lineage'!$Y$4:$Y$199,'Cell Lineage'!$A$4:$A$199,$A8,'Cell Lineage'!$D$4:$D$199,F$3)</x:f>
        <x:v>0</x:v>
      </x:c>
      <x:c r="G8" s="92" t="n">
        <x:f>SUMIFS('Cell Lineage'!$Y$4:$Y$199,'Cell Lineage'!$A$4:$A$199,$A8,'Cell Lineage'!$D$4:$D$199,G$3)</x:f>
        <x:v>0.15308213109787633</x:v>
      </x:c>
      <x:c r="H8" s="92" t="n">
        <x:f>SUMIFS('Cell Lineage'!$Y$4:$Y$199,'Cell Lineage'!$A$4:$A$199,$A8,'Cell Lineage'!$D$4:$D$199,H$3)</x:f>
        <x:v>0.07089049958795084</x:v>
      </x:c>
      <x:c r="I8" s="92" t="n">
        <x:f>SUMIFS('Cell Lineage'!$Y$4:$Y$199,'Cell Lineage'!$A$4:$A$199,$A8,'Cell Lineage'!$D$4:$D$199,I$3)</x:f>
        <x:v>0.052224841366426904</x:v>
      </x:c>
      <x:c r="J8" s="92" t="n">
        <x:f>SUMIFS('Cell Lineage'!$Y$4:$Y$199,'Cell Lineage'!$A$4:$A$199,$A8,'Cell Lineage'!$D$4:$D$199,J$3)</x:f>
        <x:v>0.01958866278445972</x:v>
      </x:c>
      <x:c r="K8" s="92" t="n">
        <x:f>SUMIFS('Cell Lineage'!$Y$4:$Y$199,'Cell Lineage'!$A$4:$A$199,$A8,'Cell Lineage'!$D$4:$D$199,K$3)</x:f>
        <x:v>0.001596162386274882</x:v>
      </x:c>
      <x:c r="L8" s="92" t="n">
        <x:f>SUMIFS('Cell Lineage'!$Y$4:$Y$199,'Cell Lineage'!$A$4:$A$199,$A8,'Cell Lineage'!$D$4:$D$199,L$3)</x:f>
        <x:v>0.024796205560252207</x:v>
      </x:c>
      <x:c r="M8" s="92" t="n">
        <x:f>SUMIFS('Cell Lineage'!$Y$4:$Y$199,'Cell Lineage'!$A$4:$A$199,$A8,'Cell Lineage'!$D$4:$D$199,M$3)</x:f>
        <x:v>0.0016430635490830383</x:v>
      </x:c>
      <x:c r="N8" s="92" t="n">
        <x:f>SUMIFS('Cell Lineage'!$Y$4:$Y$199,'Cell Lineage'!$A$4:$A$199,$A8,'Cell Lineage'!$D$4:$D$199,N$3)</x:f>
        <x:v>0.5847499360301522</x:v>
      </x:c>
      <x:c r="O8" s="93" t="n">
        <x:f>SUMIFS('Cell Lineage'!$Y$4:$Y$199,'Cell Lineage'!$A$4:$A$199,$A8,'Cell Lineage'!$D$4:$D$199,O$3)</x:f>
        <x:v>0.0023949216336726638</x:v>
      </x:c>
    </x:row>
    <x:row r="9">
      <x:c r="A9" s="69" t="str">
        <x:v>EA</x:v>
      </x:c>
      <x:c r="B9" s="91" t="n">
        <x:f>SUMIFS('Cell Lineage'!$Y$4:$Y$199,'Cell Lineage'!$A$4:$A$199,$A9,'Cell Lineage'!$D$4:$D$199,B$3)</x:f>
        <x:v>0.03141580829608948</x:v>
      </x:c>
      <x:c r="C9" s="92" t="n">
        <x:f>SUMIFS('Cell Lineage'!$Y$4:$Y$199,'Cell Lineage'!$A$4:$A$199,$A9,'Cell Lineage'!$D$4:$D$199,C$3)</x:f>
        <x:v>0.013587183454921825</x:v>
      </x:c>
      <x:c r="D9" s="92" t="n">
        <x:f>SUMIFS('Cell Lineage'!$Y$4:$Y$199,'Cell Lineage'!$A$4:$A$199,$A9,'Cell Lineage'!$D$4:$D$199,D$3)</x:f>
        <x:v>0.03794983838651758</x:v>
      </x:c>
      <x:c r="E9" s="92" t="n">
        <x:f>SUMIFS('Cell Lineage'!$Y$4:$Y$199,'Cell Lineage'!$A$4:$A$199,$A9,'Cell Lineage'!$D$4:$D$199,E$3)</x:f>
        <x:v>0.040893565942824624</x:v>
      </x:c>
      <x:c r="F9" s="92" t="n">
        <x:f>SUMIFS('Cell Lineage'!$Y$4:$Y$199,'Cell Lineage'!$A$4:$A$199,$A9,'Cell Lineage'!$D$4:$D$199,F$3)</x:f>
        <x:v>0.015430343900156665</x:v>
      </x:c>
      <x:c r="G9" s="100" t="n">
        <x:f>SUMIFS('Cell Lineage'!$Y$4:$Y$199,'Cell Lineage'!$A$4:$A$199,$A9,'Cell Lineage'!$D$4:$D$199,G$3)</x:f>
        <x:v>0</x:v>
      </x:c>
      <x:c r="H9" s="92" t="n">
        <x:f>SUMIFS('Cell Lineage'!$Y$4:$Y$199,'Cell Lineage'!$A$4:$A$199,$A9,'Cell Lineage'!$D$4:$D$199,H$3)</x:f>
        <x:v>0.2504856755434879</x:v>
      </x:c>
      <x:c r="I9" s="92" t="n">
        <x:f>SUMIFS('Cell Lineage'!$Y$4:$Y$199,'Cell Lineage'!$A$4:$A$199,$A9,'Cell Lineage'!$D$4:$D$199,I$3)</x:f>
        <x:v>0.07031566413865346</x:v>
      </x:c>
      <x:c r="J9" s="92" t="n">
        <x:f>SUMIFS('Cell Lineage'!$Y$4:$Y$199,'Cell Lineage'!$A$4:$A$199,$A9,'Cell Lineage'!$D$4:$D$199,J$3)</x:f>
        <x:v>0.016214237151055622</x:v>
      </x:c>
      <x:c r="K9" s="92" t="n">
        <x:f>SUMIFS('Cell Lineage'!$Y$4:$Y$199,'Cell Lineage'!$A$4:$A$199,$A9,'Cell Lineage'!$D$4:$D$199,K$3)</x:f>
        <x:v>0.01927449197594659</x:v>
      </x:c>
      <x:c r="L9" s="92" t="n">
        <x:f>SUMIFS('Cell Lineage'!$Y$4:$Y$199,'Cell Lineage'!$A$4:$A$199,$A9,'Cell Lineage'!$D$4:$D$199,L$3)</x:f>
        <x:v>0.008862463729212117</x:v>
      </x:c>
      <x:c r="M9" s="92" t="n">
        <x:f>SUMIFS('Cell Lineage'!$Y$4:$Y$199,'Cell Lineage'!$A$4:$A$199,$A9,'Cell Lineage'!$D$4:$D$199,M$3)</x:f>
        <x:v>0.006744295939532298</x:v>
      </x:c>
      <x:c r="N9" s="92" t="n">
        <x:f>SUMIFS('Cell Lineage'!$Y$4:$Y$199,'Cell Lineage'!$A$4:$A$199,$A9,'Cell Lineage'!$D$4:$D$199,N$3)</x:f>
        <x:v>0.4806162799920494</x:v>
      </x:c>
      <x:c r="O9" s="93" t="n">
        <x:f>SUMIFS('Cell Lineage'!$Y$4:$Y$199,'Cell Lineage'!$A$4:$A$199,$A9,'Cell Lineage'!$D$4:$D$199,O$3)</x:f>
        <x:v>0.008210151549552364</x:v>
      </x:c>
    </x:row>
    <x:row r="10">
      <x:c r="A10" s="69" t="str">
        <x:v>UK</x:v>
      </x:c>
      <x:c r="B10" s="91" t="n">
        <x:f>SUMIFS('Cell Lineage'!$Y$4:$Y$199,'Cell Lineage'!$A$4:$A$199,$A10,'Cell Lineage'!$D$4:$D$199,B$3)</x:f>
        <x:v>0.02665211694176453</x:v>
      </x:c>
      <x:c r="C10" s="92" t="n">
        <x:f>SUMIFS('Cell Lineage'!$Y$4:$Y$199,'Cell Lineage'!$A$4:$A$199,$A10,'Cell Lineage'!$D$4:$D$199,C$3)</x:f>
        <x:v>0.008701679578873831</x:v>
      </x:c>
      <x:c r="D10" s="92" t="n">
        <x:f>SUMIFS('Cell Lineage'!$Y$4:$Y$199,'Cell Lineage'!$A$4:$A$199,$A10,'Cell Lineage'!$D$4:$D$199,D$3)</x:f>
        <x:v>0.02121176684144828</x:v>
      </x:c>
      <x:c r="E10" s="92" t="n">
        <x:f>SUMIFS('Cell Lineage'!$Y$4:$Y$199,'Cell Lineage'!$A$4:$A$199,$A10,'Cell Lineage'!$D$4:$D$199,E$3)</x:f>
        <x:v>0.03034864655175097</x:v>
      </x:c>
      <x:c r="F10" s="92" t="n">
        <x:f>SUMIFS('Cell Lineage'!$Y$4:$Y$199,'Cell Lineage'!$A$4:$A$199,$A10,'Cell Lineage'!$D$4:$D$199,F$3)</x:f>
        <x:v>0.019295390219152327</x:v>
      </x:c>
      <x:c r="G10" s="92" t="n">
        <x:f>SUMIFS('Cell Lineage'!$Y$4:$Y$199,'Cell Lineage'!$A$4:$A$199,$A10,'Cell Lineage'!$D$4:$D$199,G$3)</x:f>
        <x:v>0.363322371791003</x:v>
      </x:c>
      <x:c r="H10" s="100" t="n">
        <x:f>SUMIFS('Cell Lineage'!$Y$4:$Y$199,'Cell Lineage'!$A$4:$A$199,$A10,'Cell Lineage'!$D$4:$D$199,H$3)</x:f>
        <x:v>0</x:v>
      </x:c>
      <x:c r="I10" s="92" t="n">
        <x:f>SUMIFS('Cell Lineage'!$Y$4:$Y$199,'Cell Lineage'!$A$4:$A$199,$A10,'Cell Lineage'!$D$4:$D$199,I$3)</x:f>
        <x:v>0.06479115713475235</x:v>
      </x:c>
      <x:c r="J10" s="92" t="n">
        <x:f>SUMIFS('Cell Lineage'!$Y$4:$Y$199,'Cell Lineage'!$A$4:$A$199,$A10,'Cell Lineage'!$D$4:$D$199,J$3)</x:f>
        <x:v>0.015915631666717077</x:v>
      </x:c>
      <x:c r="K10" s="92" t="n">
        <x:f>SUMIFS('Cell Lineage'!$Y$4:$Y$199,'Cell Lineage'!$A$4:$A$199,$A10,'Cell Lineage'!$D$4:$D$199,K$3)</x:f>
        <x:v>0.007268264989907974</x:v>
      </x:c>
      <x:c r="L10" s="92" t="n">
        <x:f>SUMIFS('Cell Lineage'!$Y$4:$Y$199,'Cell Lineage'!$A$4:$A$199,$A10,'Cell Lineage'!$D$4:$D$199,L$3)</x:f>
        <x:v>0.00952654806754555</x:v>
      </x:c>
      <x:c r="M10" s="92" t="n">
        <x:f>SUMIFS('Cell Lineage'!$Y$4:$Y$199,'Cell Lineage'!$A$4:$A$199,$A10,'Cell Lineage'!$D$4:$D$199,M$3)</x:f>
        <x:v>0.0029964088903855525</x:v>
      </x:c>
      <x:c r="N10" s="92" t="n">
        <x:f>SUMIFS('Cell Lineage'!$Y$4:$Y$199,'Cell Lineage'!$A$4:$A$199,$A10,'Cell Lineage'!$D$4:$D$199,N$3)</x:f>
        <x:v>0.423847945060432</x:v>
      </x:c>
      <x:c r="O10" s="93" t="n">
        <x:f>SUMIFS('Cell Lineage'!$Y$4:$Y$199,'Cell Lineage'!$A$4:$A$199,$A10,'Cell Lineage'!$D$4:$D$199,O$3)</x:f>
        <x:v>0.006122072266266469</x:v>
      </x:c>
    </x:row>
    <x:row r="11">
      <x:c r="A11" s="69" t="str">
        <x:v>JP</x:v>
      </x:c>
      <x:c r="B11" s="91" t="n">
        <x:f>SUMIFS('Cell Lineage'!$Y$4:$Y$199,'Cell Lineage'!$A$4:$A$199,$A11,'Cell Lineage'!$D$4:$D$199,B$3)</x:f>
        <x:v>0.04964044664828237</x:v>
      </x:c>
      <x:c r="C11" s="92" t="n">
        <x:f>SUMIFS('Cell Lineage'!$Y$4:$Y$199,'Cell Lineage'!$A$4:$A$199,$A11,'Cell Lineage'!$D$4:$D$199,C$3)</x:f>
        <x:v>0.004903375362340073</x:v>
      </x:c>
      <x:c r="D11" s="92" t="n">
        <x:f>SUMIFS('Cell Lineage'!$Y$4:$Y$199,'Cell Lineage'!$A$4:$A$199,$A11,'Cell Lineage'!$D$4:$D$199,D$3)</x:f>
        <x:v>0.024289321391765276</x:v>
      </x:c>
      <x:c r="E11" s="92" t="n">
        <x:f>SUMIFS('Cell Lineage'!$Y$4:$Y$199,'Cell Lineage'!$A$4:$A$199,$A11,'Cell Lineage'!$D$4:$D$199,E$3)</x:f>
        <x:v>0.011090876785018345</x:v>
      </x:c>
      <x:c r="F11" s="92" t="n">
        <x:f>SUMIFS('Cell Lineage'!$Y$4:$Y$199,'Cell Lineage'!$A$4:$A$199,$A11,'Cell Lineage'!$D$4:$D$199,F$3)</x:f>
        <x:v>0.007740911012762223</x:v>
      </x:c>
      <x:c r="G11" s="92" t="n">
        <x:f>SUMIFS('Cell Lineage'!$Y$4:$Y$199,'Cell Lineage'!$A$4:$A$199,$A11,'Cell Lineage'!$D$4:$D$199,G$3)</x:f>
        <x:v>0.2778989408450692</x:v>
      </x:c>
      <x:c r="H11" s="92" t="n">
        <x:f>SUMIFS('Cell Lineage'!$Y$4:$Y$199,'Cell Lineage'!$A$4:$A$199,$A11,'Cell Lineage'!$D$4:$D$199,H$3)</x:f>
        <x:v>0.05698882435995932</x:v>
      </x:c>
      <x:c r="I11" s="100" t="n">
        <x:f>SUMIFS('Cell Lineage'!$Y$4:$Y$199,'Cell Lineage'!$A$4:$A$199,$A11,'Cell Lineage'!$D$4:$D$199,I$3)</x:f>
        <x:v>0</x:v>
      </x:c>
      <x:c r="J11" s="92" t="n">
        <x:f>SUMIFS('Cell Lineage'!$Y$4:$Y$199,'Cell Lineage'!$A$4:$A$199,$A11,'Cell Lineage'!$D$4:$D$199,J$3)</x:f>
        <x:v>0.009034232142053877</x:v>
      </x:c>
      <x:c r="K11" s="92" t="n">
        <x:f>SUMIFS('Cell Lineage'!$Y$4:$Y$199,'Cell Lineage'!$A$4:$A$199,$A11,'Cell Lineage'!$D$4:$D$199,K$3)</x:f>
        <x:v>0.006395996429008604</x:v>
      </x:c>
      <x:c r="L11" s="92" t="n">
        <x:f>SUMIFS('Cell Lineage'!$Y$4:$Y$199,'Cell Lineage'!$A$4:$A$199,$A11,'Cell Lineage'!$D$4:$D$199,L$3)</x:f>
        <x:v>0.006799748940280561</x:v>
      </x:c>
      <x:c r="M11" s="92" t="n">
        <x:f>SUMIFS('Cell Lineage'!$Y$4:$Y$199,'Cell Lineage'!$A$4:$A$199,$A11,'Cell Lineage'!$D$4:$D$199,M$3)</x:f>
        <x:v>0.001984434552528653</x:v>
      </x:c>
      <x:c r="N11" s="92" t="n">
        <x:f>SUMIFS('Cell Lineage'!$Y$4:$Y$199,'Cell Lineage'!$A$4:$A$199,$A11,'Cell Lineage'!$D$4:$D$199,N$3)</x:f>
        <x:v>0.540355015249174</x:v>
      </x:c>
      <x:c r="O11" s="93" t="n">
        <x:f>SUMIFS('Cell Lineage'!$Y$4:$Y$199,'Cell Lineage'!$A$4:$A$199,$A11,'Cell Lineage'!$D$4:$D$199,O$3)</x:f>
        <x:v>0.0028778762817575775</x:v>
      </x:c>
    </x:row>
    <x:row r="12">
      <x:c r="A12" s="69" t="str">
        <x:v>KR</x:v>
      </x:c>
      <x:c r="B12" s="91" t="n">
        <x:f>SUMIFS('Cell Lineage'!$Y$4:$Y$199,'Cell Lineage'!$A$4:$A$199,$A12,'Cell Lineage'!$D$4:$D$199,B$3)</x:f>
        <x:v>0.03241131236771674</x:v>
      </x:c>
      <x:c r="C12" s="92" t="n">
        <x:f>SUMIFS('Cell Lineage'!$Y$4:$Y$199,'Cell Lineage'!$A$4:$A$199,$A12,'Cell Lineage'!$D$4:$D$199,C$3)</x:f>
        <x:v>0.032013931449202074</x:v>
      </x:c>
      <x:c r="D12" s="92" t="n">
        <x:f>SUMIFS('Cell Lineage'!$Y$4:$Y$199,'Cell Lineage'!$A$4:$A$199,$A12,'Cell Lineage'!$D$4:$D$199,D$3)</x:f>
        <x:v>0.022302040870738796</x:v>
      </x:c>
      <x:c r="E12" s="92" t="n">
        <x:f>SUMIFS('Cell Lineage'!$Y$4:$Y$199,'Cell Lineage'!$A$4:$A$199,$A12,'Cell Lineage'!$D$4:$D$199,E$3)</x:f>
        <x:v>0.015581239768269884</x:v>
      </x:c>
      <x:c r="F12" s="92" t="n">
        <x:f>SUMIFS('Cell Lineage'!$Y$4:$Y$199,'Cell Lineage'!$A$4:$A$199,$A12,'Cell Lineage'!$D$4:$D$199,F$3)</x:f>
        <x:v>0.049154698686462675</x:v>
      </x:c>
      <x:c r="G12" s="92" t="n">
        <x:f>SUMIFS('Cell Lineage'!$Y$4:$Y$199,'Cell Lineage'!$A$4:$A$199,$A12,'Cell Lineage'!$D$4:$D$199,G$3)</x:f>
        <x:v>0.18661850026520127</x:v>
      </x:c>
      <x:c r="H12" s="92" t="n">
        <x:f>SUMIFS('Cell Lineage'!$Y$4:$Y$199,'Cell Lineage'!$A$4:$A$199,$A12,'Cell Lineage'!$D$4:$D$199,H$3)</x:f>
        <x:v>0.07379204043982988</x:v>
      </x:c>
      <x:c r="I12" s="92" t="n">
        <x:f>SUMIFS('Cell Lineage'!$Y$4:$Y$199,'Cell Lineage'!$A$4:$A$199,$A12,'Cell Lineage'!$D$4:$D$199,I$3)</x:f>
        <x:v>0.05445301920181088</x:v>
      </x:c>
      <x:c r="J12" s="100" t="n">
        <x:f>SUMIFS('Cell Lineage'!$Y$4:$Y$199,'Cell Lineage'!$A$4:$A$199,$A12,'Cell Lineage'!$D$4:$D$199,J$3)</x:f>
        <x:v>0</x:v>
      </x:c>
      <x:c r="K12" s="92" t="n">
        <x:f>SUMIFS('Cell Lineage'!$Y$4:$Y$199,'Cell Lineage'!$A$4:$A$199,$A12,'Cell Lineage'!$D$4:$D$199,K$3)</x:f>
        <x:v>0.0021778896046572333</x:v>
      </x:c>
      <x:c r="L12" s="92" t="n">
        <x:f>SUMIFS('Cell Lineage'!$Y$4:$Y$199,'Cell Lineage'!$A$4:$A$199,$A12,'Cell Lineage'!$D$4:$D$199,L$3)</x:f>
        <x:v>0.012521902045882412</x:v>
      </x:c>
      <x:c r="M12" s="92" t="n">
        <x:f>SUMIFS('Cell Lineage'!$Y$4:$Y$199,'Cell Lineage'!$A$4:$A$199,$A12,'Cell Lineage'!$D$4:$D$199,M$3)</x:f>
        <x:v>0.001356709091604771</x:v>
      </x:c>
      <x:c r="N12" s="92" t="n">
        <x:f>SUMIFS('Cell Lineage'!$Y$4:$Y$199,'Cell Lineage'!$A$4:$A$199,$A12,'Cell Lineage'!$D$4:$D$199,N$3)</x:f>
        <x:v>0.5146506694359426</x:v>
      </x:c>
      <x:c r="O12" s="93" t="n">
        <x:f>SUMIFS('Cell Lineage'!$Y$4:$Y$199,'Cell Lineage'!$A$4:$A$199,$A12,'Cell Lineage'!$D$4:$D$199,O$3)</x:f>
        <x:v>0.0029660467726807752</x:v>
      </x:c>
    </x:row>
    <x:row r="13">
      <x:c r="A13" s="69" t="str">
        <x:v>NO</x:v>
      </x:c>
      <x:c r="B13" s="91" t="n">
        <x:f>SUMIFS('Cell Lineage'!$Y$4:$Y$199,'Cell Lineage'!$A$4:$A$199,$A13,'Cell Lineage'!$D$4:$D$199,B$3)</x:f>
        <x:v>0.026773531825108384</x:v>
      </x:c>
      <x:c r="C13" s="92" t="n">
        <x:f>SUMIFS('Cell Lineage'!$Y$4:$Y$199,'Cell Lineage'!$A$4:$A$199,$A13,'Cell Lineage'!$D$4:$D$199,C$3)</x:f>
        <x:v>0.00927851365607783</x:v>
      </x:c>
      <x:c r="D13" s="92" t="n">
        <x:f>SUMIFS('Cell Lineage'!$Y$4:$Y$199,'Cell Lineage'!$A$4:$A$199,$A13,'Cell Lineage'!$D$4:$D$199,D$3)</x:f>
        <x:v>0.03377282850779504</x:v>
      </x:c>
      <x:c r="E13" s="92" t="n">
        <x:f>SUMIFS('Cell Lineage'!$Y$4:$Y$199,'Cell Lineage'!$A$4:$A$199,$A13,'Cell Lineage'!$D$4:$D$199,E$3)</x:f>
        <x:v>0.03649876919470167</x:v>
      </x:c>
      <x:c r="F13" s="92" t="n">
        <x:f>SUMIFS('Cell Lineage'!$Y$4:$Y$199,'Cell Lineage'!$A$4:$A$199,$A13,'Cell Lineage'!$D$4:$D$199,F$3)</x:f>
        <x:v>0.013749619036455328</x:v>
      </x:c>
      <x:c r="G13" s="92" t="n">
        <x:f>SUMIFS('Cell Lineage'!$Y$4:$Y$199,'Cell Lineage'!$A$4:$A$199,$A13,'Cell Lineage'!$D$4:$D$199,G$3)</x:f>
        <x:v>0.285093775641777</x:v>
      </x:c>
      <x:c r="H13" s="92" t="n">
        <x:f>SUMIFS('Cell Lineage'!$Y$4:$Y$199,'Cell Lineage'!$A$4:$A$199,$A13,'Cell Lineage'!$D$4:$D$199,H$3)</x:f>
        <x:v>0.08777364904466059</x:v>
      </x:c>
      <x:c r="I13" s="92" t="n">
        <x:f>SUMIFS('Cell Lineage'!$Y$4:$Y$199,'Cell Lineage'!$A$4:$A$199,$A13,'Cell Lineage'!$D$4:$D$199,I$3)</x:f>
        <x:v>0.09006365021685622</x:v>
      </x:c>
      <x:c r="J13" s="92" t="n">
        <x:f>SUMIFS('Cell Lineage'!$Y$4:$Y$199,'Cell Lineage'!$A$4:$A$199,$A13,'Cell Lineage'!$D$4:$D$199,J$3)</x:f>
        <x:v>0.020854999413902273</x:v>
      </x:c>
      <x:c r="K13" s="100" t="n">
        <x:f>SUMIFS('Cell Lineage'!$Y$4:$Y$199,'Cell Lineage'!$A$4:$A$199,$A13,'Cell Lineage'!$D$4:$D$199,K$3)</x:f>
        <x:v>0</x:v>
      </x:c>
      <x:c r="L13" s="92" t="n">
        <x:f>SUMIFS('Cell Lineage'!$Y$4:$Y$199,'Cell Lineage'!$A$4:$A$199,$A13,'Cell Lineage'!$D$4:$D$199,L$3)</x:f>
        <x:v>0.006314968936818654</x:v>
      </x:c>
      <x:c r="M13" s="92" t="n">
        <x:f>SUMIFS('Cell Lineage'!$Y$4:$Y$199,'Cell Lineage'!$A$4:$A$199,$A13,'Cell Lineage'!$D$4:$D$199,M$3)</x:f>
        <x:v>0.0031005743758058817</x:v>
      </x:c>
      <x:c r="N13" s="92" t="n">
        <x:f>SUMIFS('Cell Lineage'!$Y$4:$Y$199,'Cell Lineage'!$A$4:$A$199,$A13,'Cell Lineage'!$D$4:$D$199,N$3)</x:f>
        <x:v>0.37987281678583984</x:v>
      </x:c>
      <x:c r="O13" s="93" t="n">
        <x:f>SUMIFS('Cell Lineage'!$Y$4:$Y$199,'Cell Lineage'!$A$4:$A$199,$A13,'Cell Lineage'!$D$4:$D$199,O$3)</x:f>
        <x:v>0.0068523033642011524</x:v>
      </x:c>
    </x:row>
    <x:row r="14">
      <x:c r="A14" s="69" t="str">
        <x:v>SG</x:v>
      </x:c>
      <x:c r="B14" s="91" t="n">
        <x:f>SUMIFS('Cell Lineage'!$Y$4:$Y$199,'Cell Lineage'!$A$4:$A$199,$A14,'Cell Lineage'!$D$4:$D$199,B$3)</x:f>
        <x:v>0.04099314306774773</x:v>
      </x:c>
      <x:c r="C14" s="92" t="n">
        <x:f>SUMIFS('Cell Lineage'!$Y$4:$Y$199,'Cell Lineage'!$A$4:$A$199,$A14,'Cell Lineage'!$D$4:$D$199,C$3)</x:f>
        <x:v>0.0013391601944954398</x:v>
      </x:c>
      <x:c r="D14" s="92" t="n">
        <x:f>SUMIFS('Cell Lineage'!$Y$4:$Y$199,'Cell Lineage'!$A$4:$A$199,$A14,'Cell Lineage'!$D$4:$D$199,D$3)</x:f>
        <x:v>0.027605975831620888</x:v>
      </x:c>
      <x:c r="E14" s="92" t="n">
        <x:f>SUMIFS('Cell Lineage'!$Y$4:$Y$199,'Cell Lineage'!$A$4:$A$199,$A14,'Cell Lineage'!$D$4:$D$199,E$3)</x:f>
        <x:v>0.013712818692457187</x:v>
      </x:c>
      <x:c r="F14" s="92" t="n">
        <x:f>SUMIFS('Cell Lineage'!$Y$4:$Y$199,'Cell Lineage'!$A$4:$A$199,$A14,'Cell Lineage'!$D$4:$D$199,F$3)</x:f>
        <x:v>0.16439705538839217</x:v>
      </x:c>
      <x:c r="G14" s="92" t="n">
        <x:f>SUMIFS('Cell Lineage'!$Y$4:$Y$199,'Cell Lineage'!$A$4:$A$199,$A14,'Cell Lineage'!$D$4:$D$199,G$3)</x:f>
        <x:v>0.11554067532820227</x:v>
      </x:c>
      <x:c r="H14" s="92" t="n">
        <x:f>SUMIFS('Cell Lineage'!$Y$4:$Y$199,'Cell Lineage'!$A$4:$A$199,$A14,'Cell Lineage'!$D$4:$D$199,H$3)</x:f>
        <x:v>0.056811547007781175</x:v>
      </x:c>
      <x:c r="I14" s="92" t="n">
        <x:f>SUMIFS('Cell Lineage'!$Y$4:$Y$199,'Cell Lineage'!$A$4:$A$199,$A14,'Cell Lineage'!$D$4:$D$199,I$3)</x:f>
        <x:v>0.053719171059983445</x:v>
      </x:c>
      <x:c r="J14" s="92" t="n">
        <x:f>SUMIFS('Cell Lineage'!$Y$4:$Y$199,'Cell Lineage'!$A$4:$A$199,$A14,'Cell Lineage'!$D$4:$D$199,J$3)</x:f>
        <x:v>0.06290933207764238</x:v>
      </x:c>
      <x:c r="K14" s="92" t="n">
        <x:f>SUMIFS('Cell Lineage'!$Y$4:$Y$199,'Cell Lineage'!$A$4:$A$199,$A14,'Cell Lineage'!$D$4:$D$199,K$3)</x:f>
        <x:v>0</x:v>
      </x:c>
      <x:c r="L14" s="100" t="n">
        <x:f>SUMIFS('Cell Lineage'!$Y$4:$Y$199,'Cell Lineage'!$A$4:$A$199,$A14,'Cell Lineage'!$D$4:$D$199,L$3)</x:f>
        <x:v>0</x:v>
      </x:c>
      <x:c r="M14" s="92" t="n">
        <x:f>SUMIFS('Cell Lineage'!$Y$4:$Y$199,'Cell Lineage'!$A$4:$A$199,$A14,'Cell Lineage'!$D$4:$D$199,M$3)</x:f>
        <x:v>0</x:v>
      </x:c>
      <x:c r="N14" s="92" t="n">
        <x:f>SUMIFS('Cell Lineage'!$Y$4:$Y$199,'Cell Lineage'!$A$4:$A$199,$A14,'Cell Lineage'!$D$4:$D$199,N$3)</x:f>
        <x:v>0.4629711213516773</x:v>
      </x:c>
      <x:c r="O14" s="93" t="n">
        <x:f>SUMIFS('Cell Lineage'!$Y$4:$Y$199,'Cell Lineage'!$A$4:$A$199,$A14,'Cell Lineage'!$D$4:$D$199,O$3)</x:f>
        <x:v>0</x:v>
      </x:c>
    </x:row>
    <x:row r="15">
      <x:c r="A15" s="69" t="str">
        <x:v>TR</x:v>
      </x:c>
      <x:c r="B15" s="91" t="n">
        <x:f>SUMIFS('Cell Lineage'!$Y$4:$Y$199,'Cell Lineage'!$A$4:$A$199,$A15,'Cell Lineage'!$D$4:$D$199,B$3)</x:f>
        <x:v>0.0013440888447739136</x:v>
      </x:c>
      <x:c r="C15" s="92" t="n">
        <x:f>SUMIFS('Cell Lineage'!$Y$4:$Y$199,'Cell Lineage'!$A$4:$A$199,$A15,'Cell Lineage'!$D$4:$D$199,C$3)</x:f>
        <x:v>0.014852084204863364</x:v>
      </x:c>
      <x:c r="D15" s="92" t="n">
        <x:f>SUMIFS('Cell Lineage'!$Y$4:$Y$199,'Cell Lineage'!$A$4:$A$199,$A15,'Cell Lineage'!$D$4:$D$199,D$3)</x:f>
        <x:v>0.016385266395799264</x:v>
      </x:c>
      <x:c r="E15" s="92" t="n">
        <x:f>SUMIFS('Cell Lineage'!$Y$4:$Y$199,'Cell Lineage'!$A$4:$A$199,$A15,'Cell Lineage'!$D$4:$D$199,E$3)</x:f>
        <x:v>0.011815955852041078</x:v>
      </x:c>
      <x:c r="F15" s="92" t="n">
        <x:f>SUMIFS('Cell Lineage'!$Y$4:$Y$199,'Cell Lineage'!$A$4:$A$199,$A15,'Cell Lineage'!$D$4:$D$199,F$3)</x:f>
        <x:v>0.001688178876481098</x:v>
      </x:c>
      <x:c r="G15" s="92" t="n">
        <x:f>SUMIFS('Cell Lineage'!$Y$4:$Y$199,'Cell Lineage'!$A$4:$A$199,$A15,'Cell Lineage'!$D$4:$D$199,G$3)</x:f>
        <x:v>0.22245108471492372</x:v>
      </x:c>
      <x:c r="H15" s="92" t="n">
        <x:f>SUMIFS('Cell Lineage'!$Y$4:$Y$199,'Cell Lineage'!$A$4:$A$199,$A15,'Cell Lineage'!$D$4:$D$199,H$3)</x:f>
        <x:v>0.042759154192959704</x:v>
      </x:c>
      <x:c r="I15" s="92" t="n">
        <x:f>SUMIFS('Cell Lineage'!$Y$4:$Y$199,'Cell Lineage'!$A$4:$A$199,$A15,'Cell Lineage'!$D$4:$D$199,I$3)</x:f>
        <x:v>0.0031135385130556625</x:v>
      </x:c>
      <x:c r="J15" s="92" t="n">
        <x:f>SUMIFS('Cell Lineage'!$Y$4:$Y$199,'Cell Lineage'!$A$4:$A$199,$A15,'Cell Lineage'!$D$4:$D$199,J$3)</x:f>
        <x:v>0</x:v>
      </x:c>
      <x:c r="K15" s="92" t="n">
        <x:f>SUMIFS('Cell Lineage'!$Y$4:$Y$199,'Cell Lineage'!$A$4:$A$199,$A15,'Cell Lineage'!$D$4:$D$199,K$3)</x:f>
        <x:v>0.00016661208961193277</x:v>
      </x:c>
      <x:c r="L15" s="92" t="n">
        <x:f>SUMIFS('Cell Lineage'!$Y$4:$Y$199,'Cell Lineage'!$A$4:$A$199,$A15,'Cell Lineage'!$D$4:$D$199,L$3)</x:f>
        <x:v>0</x:v>
      </x:c>
      <x:c r="M15" s="100" t="n">
        <x:f>SUMIFS('Cell Lineage'!$Y$4:$Y$199,'Cell Lineage'!$A$4:$A$199,$A15,'Cell Lineage'!$D$4:$D$199,M$3)</x:f>
        <x:v>0</x:v>
      </x:c>
      <x:c r="N15" s="92" t="n">
        <x:f>SUMIFS('Cell Lineage'!$Y$4:$Y$199,'Cell Lineage'!$A$4:$A$199,$A15,'Cell Lineage'!$D$4:$D$199,N$3)</x:f>
        <x:v>0.6850266822664401</x:v>
      </x:c>
      <x:c r="O15" s="93" t="n">
        <x:f>SUMIFS('Cell Lineage'!$Y$4:$Y$199,'Cell Lineage'!$A$4:$A$199,$A15,'Cell Lineage'!$D$4:$D$199,O$3)</x:f>
        <x:v>0.00039735404904993836</x:v>
      </x:c>
    </x:row>
    <x:row r="16">
      <x:c r="A16" s="69" t="str">
        <x:v>US</x:v>
      </x:c>
      <x:c r="B16" s="91" t="n">
        <x:f>SUMIFS('Cell Lineage'!$Y$4:$Y$199,'Cell Lineage'!$A$4:$A$199,$A16,'Cell Lineage'!$D$4:$D$199,B$3)</x:f>
        <x:v>0.0427839264288841</x:v>
      </x:c>
      <x:c r="C16" s="92" t="n">
        <x:f>SUMIFS('Cell Lineage'!$Y$4:$Y$199,'Cell Lineage'!$A$4:$A$199,$A16,'Cell Lineage'!$D$4:$D$199,C$3)</x:f>
        <x:v>0.019341222793195396</x:v>
      </x:c>
      <x:c r="D16" s="92" t="n">
        <x:f>SUMIFS('Cell Lineage'!$Y$4:$Y$199,'Cell Lineage'!$A$4:$A$199,$A16,'Cell Lineage'!$D$4:$D$199,D$3)</x:f>
        <x:v>0.12301103380250242</x:v>
      </x:c>
      <x:c r="E16" s="92" t="n">
        <x:f>SUMIFS('Cell Lineage'!$Y$4:$Y$199,'Cell Lineage'!$A$4:$A$199,$A16,'Cell Lineage'!$D$4:$D$199,E$3)</x:f>
        <x:v>0.0635870656809</x:v>
      </x:c>
      <x:c r="F16" s="92" t="n">
        <x:f>SUMIFS('Cell Lineage'!$Y$4:$Y$199,'Cell Lineage'!$A$4:$A$199,$A16,'Cell Lineage'!$D$4:$D$199,F$3)</x:f>
        <x:v>0.019960918116801608</x:v>
      </x:c>
      <x:c r="G16" s="92" t="n">
        <x:f>SUMIFS('Cell Lineage'!$Y$4:$Y$199,'Cell Lineage'!$A$4:$A$199,$A16,'Cell Lineage'!$D$4:$D$199,G$3)</x:f>
        <x:v>0.3327796649209857</x:v>
      </x:c>
      <x:c r="H16" s="92" t="n">
        <x:f>SUMIFS('Cell Lineage'!$Y$4:$Y$199,'Cell Lineage'!$A$4:$A$199,$A16,'Cell Lineage'!$D$4:$D$199,H$3)</x:f>
        <x:v>0.17663849434449264</x:v>
      </x:c>
      <x:c r="I16" s="92" t="n">
        <x:f>SUMIFS('Cell Lineage'!$Y$4:$Y$199,'Cell Lineage'!$A$4:$A$199,$A16,'Cell Lineage'!$D$4:$D$199,I$3)</x:f>
        <x:v>0.14169841376645978</x:v>
      </x:c>
      <x:c r="J16" s="92" t="n">
        <x:f>SUMIFS('Cell Lineage'!$Y$4:$Y$199,'Cell Lineage'!$A$4:$A$199,$A16,'Cell Lineage'!$D$4:$D$199,J$3)</x:f>
        <x:v>0.0312209005919489</x:v>
      </x:c>
      <x:c r="K16" s="92" t="n">
        <x:f>SUMIFS('Cell Lineage'!$Y$4:$Y$199,'Cell Lineage'!$A$4:$A$199,$A16,'Cell Lineage'!$D$4:$D$199,K$3)</x:f>
        <x:v>0.00892711561438167</x:v>
      </x:c>
      <x:c r="L16" s="92" t="n">
        <x:f>SUMIFS('Cell Lineage'!$Y$4:$Y$199,'Cell Lineage'!$A$4:$A$199,$A16,'Cell Lineage'!$D$4:$D$199,L$3)</x:f>
        <x:v>0.020732954157414708</x:v>
      </x:c>
      <x:c r="M16" s="92" t="n">
        <x:f>SUMIFS('Cell Lineage'!$Y$4:$Y$199,'Cell Lineage'!$A$4:$A$199,$A16,'Cell Lineage'!$D$4:$D$199,M$3)</x:f>
        <x:v>0.004950506277722797</x:v>
      </x:c>
      <x:c r="N16" s="100" t="n">
        <x:f>SUMIFS('Cell Lineage'!$Y$4:$Y$199,'Cell Lineage'!$A$4:$A$199,$A16,'Cell Lineage'!$D$4:$D$199,N$3)</x:f>
        <x:v>0</x:v>
      </x:c>
      <x:c r="O16" s="93" t="n">
        <x:f>SUMIFS('Cell Lineage'!$Y$4:$Y$199,'Cell Lineage'!$A$4:$A$199,$A16,'Cell Lineage'!$D$4:$D$199,O$3)</x:f>
        <x:v>0.014367783504310273</x:v>
      </x:c>
    </x:row>
    <x:row r="17">
      <x:c r="A17" s="69" t="str">
        <x:v>ZA</x:v>
      </x:c>
      <x:c r="B17" s="94" t="n">
        <x:f>SUMIFS('Cell Lineage'!$Y$4:$Y$199,'Cell Lineage'!$A$4:$A$199,$A17,'Cell Lineage'!$D$4:$D$199,B$3)</x:f>
        <x:v>0.006185640425838274</x:v>
      </x:c>
      <x:c r="C17" s="95" t="n">
        <x:f>SUMIFS('Cell Lineage'!$Y$4:$Y$199,'Cell Lineage'!$A$4:$A$199,$A17,'Cell Lineage'!$D$4:$D$199,C$3)</x:f>
        <x:v>0.005710565336805058</x:v>
      </x:c>
      <x:c r="D17" s="95" t="n">
        <x:f>SUMIFS('Cell Lineage'!$Y$4:$Y$199,'Cell Lineage'!$A$4:$A$199,$A17,'Cell Lineage'!$D$4:$D$199,D$3)</x:f>
        <x:v>0.014932311979387748</x:v>
      </x:c>
      <x:c r="E17" s="95" t="n">
        <x:f>SUMIFS('Cell Lineage'!$Y$4:$Y$199,'Cell Lineage'!$A$4:$A$199,$A17,'Cell Lineage'!$D$4:$D$199,E$3)</x:f>
        <x:v>0.00341148674747943</x:v>
      </x:c>
      <x:c r="F17" s="95" t="n">
        <x:f>SUMIFS('Cell Lineage'!$Y$4:$Y$199,'Cell Lineage'!$A$4:$A$199,$A17,'Cell Lineage'!$D$4:$D$199,F$3)</x:f>
        <x:v>0.006653594474993057</x:v>
      </x:c>
      <x:c r="G17" s="95" t="n">
        <x:f>SUMIFS('Cell Lineage'!$Y$4:$Y$199,'Cell Lineage'!$A$4:$A$199,$A17,'Cell Lineage'!$D$4:$D$199,G$3)</x:f>
        <x:v>0.32434098560793867</x:v>
      </x:c>
      <x:c r="H17" s="95" t="n">
        <x:f>SUMIFS('Cell Lineage'!$Y$4:$Y$199,'Cell Lineage'!$A$4:$A$199,$A17,'Cell Lineage'!$D$4:$D$199,H$3)</x:f>
        <x:v>0.46825364147537524</x:v>
      </x:c>
      <x:c r="I17" s="95" t="n">
        <x:f>SUMIFS('Cell Lineage'!$Y$4:$Y$199,'Cell Lineage'!$A$4:$A$199,$A17,'Cell Lineage'!$D$4:$D$199,I$3)</x:f>
        <x:v>0.00462562404675383</x:v>
      </x:c>
      <x:c r="J17" s="95" t="n">
        <x:f>SUMIFS('Cell Lineage'!$Y$4:$Y$199,'Cell Lineage'!$A$4:$A$199,$A17,'Cell Lineage'!$D$4:$D$199,J$3)</x:f>
        <x:v>0.00024872775003987495</x:v>
      </x:c>
      <x:c r="K17" s="95" t="n">
        <x:f>SUMIFS('Cell Lineage'!$Y$4:$Y$199,'Cell Lineage'!$A$4:$A$199,$A17,'Cell Lineage'!$D$4:$D$199,K$3)</x:f>
        <x:v>0.00021922629911490002</x:v>
      </x:c>
      <x:c r="L17" s="95" t="n">
        <x:f>SUMIFS('Cell Lineage'!$Y$4:$Y$199,'Cell Lineage'!$A$4:$A$199,$A17,'Cell Lineage'!$D$4:$D$199,L$3)</x:f>
        <x:v>0.006191744174305511</x:v>
      </x:c>
      <x:c r="M17" s="95" t="n">
        <x:f>SUMIFS('Cell Lineage'!$Y$4:$Y$199,'Cell Lineage'!$A$4:$A$199,$A17,'Cell Lineage'!$D$4:$D$199,M$3)</x:f>
        <x:v>0.00026195253838555334</x:v>
      </x:c>
      <x:c r="N17" s="95" t="n">
        <x:f>SUMIFS('Cell Lineage'!$Y$4:$Y$199,'Cell Lineage'!$A$4:$A$199,$A17,'Cell Lineage'!$D$4:$D$199,N$3)</x:f>
        <x:v>0.15896449914358265</x:v>
      </x:c>
      <x:c r="O17" s="102" t="n">
        <x:f>SUMIFS('Cell Lineage'!$Y$4:$Y$199,'Cell Lineage'!$A$4:$A$199,$A17,'Cell Lineage'!$D$4:$D$199,O$3)</x:f>
        <x:v>0</x:v>
      </x:c>
    </x:row>
    <x:row r="19">
      <x:c r="A19" s="8" t="str">
        <x:v>Source and transformation details are in Cell Lineage. Values are shares, not percentages; 0.500000 means 50%.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</x:row>
  </x:sheetData>
  <x:mergeCells>
    <x:mergeCell ref="A1:O1"/>
    <x:mergeCell ref="A2:O2"/>
    <x:mergeCell ref="A19:O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8" customHeight="1">
      <x:c r="A1" s="4" t="str">
        <x:v>W Equity Restated — 14×14</x:v>
      </x:c>
      <x:c r="B1" s="4" t="str">
        <x:v>W Equity Restated — 14×14</x:v>
      </x:c>
      <x:c r="C1" s="4" t="str">
        <x:v>W Equity Restated — 14×14</x:v>
      </x:c>
      <x:c r="D1" s="4" t="str">
        <x:v>W Equity Restated — 14×14</x:v>
      </x:c>
      <x:c r="E1" s="4" t="str">
        <x:v>W Equity Restated — 14×14</x:v>
      </x:c>
      <x:c r="F1" s="4" t="str">
        <x:v>W Equity Restated — 14×14</x:v>
      </x:c>
      <x:c r="G1" s="4" t="str">
        <x:v>W Equity Restated — 14×14</x:v>
      </x:c>
      <x:c r="H1" s="4" t="str">
        <x:v>W Equity Restated — 14×14</x:v>
      </x:c>
      <x:c r="I1" s="4" t="str">
        <x:v>W Equity Restated — 14×14</x:v>
      </x:c>
      <x:c r="J1" s="4" t="str">
        <x:v>W Equity Restated — 14×14</x:v>
      </x:c>
      <x:c r="K1" s="4" t="str">
        <x:v>W Equity Restated — 14×14</x:v>
      </x:c>
      <x:c r="L1" s="4" t="str">
        <x:v>W Equity Restated — 14×14</x:v>
      </x:c>
      <x:c r="M1" s="4" t="str">
        <x:v>W Equity Restated — 14×14</x:v>
      </x:c>
      <x:c r="N1" s="4" t="str">
        <x:v>W Equity Restated — 14×14</x:v>
      </x:c>
      <x:c r="O1" s="4" t="str">
        <x:v>W Equity Restated — 14×14</x:v>
      </x:c>
    </x:row>
    <x:row r="2">
      <x:c r="A2" s="8" t="str">
        <x:v>Asset-channel matrix: nationality-restated equity and fund-share positions. Rows are investors; columns are issuers/exposure destinations. Diagonal = 0; row sum = 1.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4" customHeight="1">
      <x:c r="A3" s="20" t="str">
        <x:v>Investor / Issuer</x:v>
      </x:c>
      <x:c r="B3" s="21" t="str">
        <x:v>AU</x:v>
      </x:c>
      <x:c r="C3" s="21" t="str">
        <x:v>BR</x:v>
      </x:c>
      <x:c r="D3" s="21" t="str">
        <x:v>CA</x:v>
      </x:c>
      <x:c r="E3" s="21" t="str">
        <x:v>CH</x:v>
      </x:c>
      <x:c r="F3" s="21" t="str">
        <x:v>CN</x:v>
      </x:c>
      <x:c r="G3" s="21" t="str">
        <x:v>EA</x:v>
      </x:c>
      <x:c r="H3" s="21" t="str">
        <x:v>UK</x:v>
      </x:c>
      <x:c r="I3" s="21" t="str">
        <x:v>JP</x:v>
      </x:c>
      <x:c r="J3" s="21" t="str">
        <x:v>KR</x:v>
      </x:c>
      <x:c r="K3" s="21" t="str">
        <x:v>NO</x:v>
      </x:c>
      <x:c r="L3" s="21" t="str">
        <x:v>SG</x:v>
      </x:c>
      <x:c r="M3" s="21" t="str">
        <x:v>TR</x:v>
      </x:c>
      <x:c r="N3" s="21" t="str">
        <x:v>US</x:v>
      </x:c>
      <x:c r="O3" s="22" t="str">
        <x:v>ZA</x:v>
      </x:c>
    </x:row>
    <x:row r="4">
      <x:c r="A4" s="69" t="str">
        <x:v>AU</x:v>
      </x:c>
      <x:c r="B4" s="98" t="n">
        <x:f>SUMIFS('Cell Lineage'!$Z$4:$Z$199,'Cell Lineage'!$A$4:$A$199,$A4,'Cell Lineage'!$D$4:$D$199,B$3)</x:f>
        <x:v>0</x:v>
      </x:c>
      <x:c r="C4" s="89" t="n">
        <x:f>SUMIFS('Cell Lineage'!$Z$4:$Z$199,'Cell Lineage'!$A$4:$A$199,$A4,'Cell Lineage'!$D$4:$D$199,C$3)</x:f>
        <x:v>0.006474298483170584</x:v>
      </x:c>
      <x:c r="D4" s="89" t="n">
        <x:f>SUMIFS('Cell Lineage'!$Z$4:$Z$199,'Cell Lineage'!$A$4:$A$199,$A4,'Cell Lineage'!$D$4:$D$199,D$3)</x:f>
        <x:v>0.02459839736425324</x:v>
      </x:c>
      <x:c r="E4" s="89" t="n">
        <x:f>SUMIFS('Cell Lineage'!$Z$4:$Z$199,'Cell Lineage'!$A$4:$A$199,$A4,'Cell Lineage'!$D$4:$D$199,E$3)</x:f>
        <x:v>0.02758960744001571</x:v>
      </x:c>
      <x:c r="F4" s="89" t="n">
        <x:f>SUMIFS('Cell Lineage'!$Z$4:$Z$199,'Cell Lineage'!$A$4:$A$199,$A4,'Cell Lineage'!$D$4:$D$199,F$3)</x:f>
        <x:v>0.06899407039038341</x:v>
      </x:c>
      <x:c r="G4" s="89" t="n">
        <x:f>SUMIFS('Cell Lineage'!$Z$4:$Z$199,'Cell Lineage'!$A$4:$A$199,$A4,'Cell Lineage'!$D$4:$D$199,G$3)</x:f>
        <x:v>0.11933084122402188</x:v>
      </x:c>
      <x:c r="H4" s="89" t="n">
        <x:f>SUMIFS('Cell Lineage'!$Z$4:$Z$199,'Cell Lineage'!$A$4:$A$199,$A4,'Cell Lineage'!$D$4:$D$199,H$3)</x:f>
        <x:v>0.08019783677186754</x:v>
      </x:c>
      <x:c r="I4" s="89" t="n">
        <x:f>SUMIFS('Cell Lineage'!$Z$4:$Z$199,'Cell Lineage'!$A$4:$A$199,$A4,'Cell Lineage'!$D$4:$D$199,I$3)</x:f>
        <x:v>0.06455653140256354</x:v>
      </x:c>
      <x:c r="J4" s="89" t="n">
        <x:f>SUMIFS('Cell Lineage'!$Z$4:$Z$199,'Cell Lineage'!$A$4:$A$199,$A4,'Cell Lineage'!$D$4:$D$199,J$3)</x:f>
        <x:v>0.01674572540938935</x:v>
      </x:c>
      <x:c r="K4" s="89" t="n">
        <x:f>SUMIFS('Cell Lineage'!$Z$4:$Z$199,'Cell Lineage'!$A$4:$A$199,$A4,'Cell Lineage'!$D$4:$D$199,K$3)</x:f>
        <x:v>0.0015961254675084125</x:v>
      </x:c>
      <x:c r="L4" s="89" t="n">
        <x:f>SUMIFS('Cell Lineage'!$Z$4:$Z$199,'Cell Lineage'!$A$4:$A$199,$A4,'Cell Lineage'!$D$4:$D$199,L$3)</x:f>
        <x:v>0.005805796932005194</x:v>
      </x:c>
      <x:c r="M4" s="89" t="n">
        <x:f>SUMIFS('Cell Lineage'!$Z$4:$Z$199,'Cell Lineage'!$A$4:$A$199,$A4,'Cell Lineage'!$D$4:$D$199,M$3)</x:f>
        <x:v>0.0017633951879100032</x:v>
      </x:c>
      <x:c r="N4" s="89" t="n">
        <x:f>SUMIFS('Cell Lineage'!$Z$4:$Z$199,'Cell Lineage'!$A$4:$A$199,$A4,'Cell Lineage'!$D$4:$D$199,N$3)</x:f>
        <x:v>0.5773689528706349</x:v>
      </x:c>
      <x:c r="O4" s="90" t="n">
        <x:f>SUMIFS('Cell Lineage'!$Z$4:$Z$199,'Cell Lineage'!$A$4:$A$199,$A4,'Cell Lineage'!$D$4:$D$199,O$3)</x:f>
        <x:v>0.004978421056276295</x:v>
      </x:c>
    </x:row>
    <x:row r="5">
      <x:c r="A5" s="69" t="str">
        <x:v>BR</x:v>
      </x:c>
      <x:c r="B5" s="91" t="n">
        <x:f>SUMIFS('Cell Lineage'!$Z$4:$Z$199,'Cell Lineage'!$A$4:$A$199,$A5,'Cell Lineage'!$D$4:$D$199,B$3)</x:f>
        <x:v>0.0007384811935765939</x:v>
      </x:c>
      <x:c r="C5" s="100" t="n">
        <x:f>SUMIFS('Cell Lineage'!$Z$4:$Z$199,'Cell Lineage'!$A$4:$A$199,$A5,'Cell Lineage'!$D$4:$D$199,C$3)</x:f>
        <x:v>0</x:v>
      </x:c>
      <x:c r="D5" s="92" t="n">
        <x:f>SUMIFS('Cell Lineage'!$Z$4:$Z$199,'Cell Lineage'!$A$4:$A$199,$A5,'Cell Lineage'!$D$4:$D$199,D$3)</x:f>
        <x:v>0.007659877741475137</x:v>
      </x:c>
      <x:c r="E5" s="92" t="n">
        <x:f>SUMIFS('Cell Lineage'!$Z$4:$Z$199,'Cell Lineage'!$A$4:$A$199,$A5,'Cell Lineage'!$D$4:$D$199,E$3)</x:f>
        <x:v>0.0865241377585578</x:v>
      </x:c>
      <x:c r="F5" s="92" t="n">
        <x:f>SUMIFS('Cell Lineage'!$Z$4:$Z$199,'Cell Lineage'!$A$4:$A$199,$A5,'Cell Lineage'!$D$4:$D$199,F$3)</x:f>
        <x:v>0.14960407796617292</x:v>
      </x:c>
      <x:c r="G5" s="92" t="n">
        <x:f>SUMIFS('Cell Lineage'!$Z$4:$Z$199,'Cell Lineage'!$A$4:$A$199,$A5,'Cell Lineage'!$D$4:$D$199,G$3)</x:f>
        <x:v>0.2185318784698709</x:v>
      </x:c>
      <x:c r="H5" s="92" t="n">
        <x:f>SUMIFS('Cell Lineage'!$Z$4:$Z$199,'Cell Lineage'!$A$4:$A$199,$A5,'Cell Lineage'!$D$4:$D$199,H$3)</x:f>
        <x:v>0.024281490517613802</x:v>
      </x:c>
      <x:c r="I5" s="92" t="n">
        <x:f>SUMIFS('Cell Lineage'!$Z$4:$Z$199,'Cell Lineage'!$A$4:$A$199,$A5,'Cell Lineage'!$D$4:$D$199,I$3)</x:f>
        <x:v>0.001993507087777447</x:v>
      </x:c>
      <x:c r="J5" s="92" t="n">
        <x:f>SUMIFS('Cell Lineage'!$Z$4:$Z$199,'Cell Lineage'!$A$4:$A$199,$A5,'Cell Lineage'!$D$4:$D$199,J$3)</x:f>
        <x:v>0.00012327352492037542</x:v>
      </x:c>
      <x:c r="K5" s="92" t="n">
        <x:f>SUMIFS('Cell Lineage'!$Z$4:$Z$199,'Cell Lineage'!$A$4:$A$199,$A5,'Cell Lineage'!$D$4:$D$199,K$3)</x:f>
        <x:v>0.0009523274053943515</x:v>
      </x:c>
      <x:c r="L5" s="92" t="n">
        <x:f>SUMIFS('Cell Lineage'!$Z$4:$Z$199,'Cell Lineage'!$A$4:$A$199,$A5,'Cell Lineage'!$D$4:$D$199,L$3)</x:f>
        <x:v>0.00678883520877784</x:v>
      </x:c>
      <x:c r="M5" s="92" t="n">
        <x:f>SUMIFS('Cell Lineage'!$Z$4:$Z$199,'Cell Lineage'!$A$4:$A$199,$A5,'Cell Lineage'!$D$4:$D$199,M$3)</x:f>
        <x:v>0.00017424659043777847</x:v>
      </x:c>
      <x:c r="N5" s="92" t="n">
        <x:f>SUMIFS('Cell Lineage'!$Z$4:$Z$199,'Cell Lineage'!$A$4:$A$199,$A5,'Cell Lineage'!$D$4:$D$199,N$3)</x:f>
        <x:v>0.5023141398642482</x:v>
      </x:c>
      <x:c r="O5" s="93" t="n">
        <x:f>SUMIFS('Cell Lineage'!$Z$4:$Z$199,'Cell Lineage'!$A$4:$A$199,$A5,'Cell Lineage'!$D$4:$D$199,O$3)</x:f>
        <x:v>0.0003137266711768072</x:v>
      </x:c>
    </x:row>
    <x:row r="6">
      <x:c r="A6" s="69" t="str">
        <x:v>CA</x:v>
      </x:c>
      <x:c r="B6" s="91" t="n">
        <x:f>SUMIFS('Cell Lineage'!$Z$4:$Z$199,'Cell Lineage'!$A$4:$A$199,$A6,'Cell Lineage'!$D$4:$D$199,B$3)</x:f>
        <x:v>0.014204579706322638</x:v>
      </x:c>
      <x:c r="C6" s="92" t="n">
        <x:f>SUMIFS('Cell Lineage'!$Z$4:$Z$199,'Cell Lineage'!$A$4:$A$199,$A6,'Cell Lineage'!$D$4:$D$199,C$3)</x:f>
        <x:v>0.008558968680897441</x:v>
      </x:c>
      <x:c r="D6" s="100" t="n">
        <x:f>SUMIFS('Cell Lineage'!$Z$4:$Z$199,'Cell Lineage'!$A$4:$A$199,$A6,'Cell Lineage'!$D$4:$D$199,D$3)</x:f>
        <x:v>0</x:v>
      </x:c>
      <x:c r="E6" s="92" t="n">
        <x:f>SUMIFS('Cell Lineage'!$Z$4:$Z$199,'Cell Lineage'!$A$4:$A$199,$A6,'Cell Lineage'!$D$4:$D$199,E$3)</x:f>
        <x:v>0.02169100738096394</x:v>
      </x:c>
      <x:c r="F6" s="92" t="n">
        <x:f>SUMIFS('Cell Lineage'!$Z$4:$Z$199,'Cell Lineage'!$A$4:$A$199,$A6,'Cell Lineage'!$D$4:$D$199,F$3)</x:f>
        <x:v>0.048865810599873695</x:v>
      </x:c>
      <x:c r="G6" s="92" t="n">
        <x:f>SUMIFS('Cell Lineage'!$Z$4:$Z$199,'Cell Lineage'!$A$4:$A$199,$A6,'Cell Lineage'!$D$4:$D$199,G$3)</x:f>
        <x:v>0.11771726472667113</x:v>
      </x:c>
      <x:c r="H6" s="92" t="n">
        <x:f>SUMIFS('Cell Lineage'!$Z$4:$Z$199,'Cell Lineage'!$A$4:$A$199,$A6,'Cell Lineage'!$D$4:$D$199,H$3)</x:f>
        <x:v>0.06364936434086804</x:v>
      </x:c>
      <x:c r="I6" s="92" t="n">
        <x:f>SUMIFS('Cell Lineage'!$Z$4:$Z$199,'Cell Lineage'!$A$4:$A$199,$A6,'Cell Lineage'!$D$4:$D$199,I$3)</x:f>
        <x:v>0.0517163495948278</x:v>
      </x:c>
      <x:c r="J6" s="92" t="n">
        <x:f>SUMIFS('Cell Lineage'!$Z$4:$Z$199,'Cell Lineage'!$A$4:$A$199,$A6,'Cell Lineage'!$D$4:$D$199,J$3)</x:f>
        <x:v>0.017442773493259737</x:v>
      </x:c>
      <x:c r="K6" s="92" t="n">
        <x:f>SUMIFS('Cell Lineage'!$Z$4:$Z$199,'Cell Lineage'!$A$4:$A$199,$A6,'Cell Lineage'!$D$4:$D$199,K$3)</x:f>
        <x:v>0.003203823868874472</x:v>
      </x:c>
      <x:c r="L6" s="92" t="n">
        <x:f>SUMIFS('Cell Lineage'!$Z$4:$Z$199,'Cell Lineage'!$A$4:$A$199,$A6,'Cell Lineage'!$D$4:$D$199,L$3)</x:f>
        <x:v>0.0026846390363119504</x:v>
      </x:c>
      <x:c r="M6" s="92" t="n">
        <x:f>SUMIFS('Cell Lineage'!$Z$4:$Z$199,'Cell Lineage'!$A$4:$A$199,$A6,'Cell Lineage'!$D$4:$D$199,M$3)</x:f>
        <x:v>0.0014960295676353997</x:v>
      </x:c>
      <x:c r="N6" s="92" t="n">
        <x:f>SUMIFS('Cell Lineage'!$Z$4:$Z$199,'Cell Lineage'!$A$4:$A$199,$A6,'Cell Lineage'!$D$4:$D$199,N$3)</x:f>
        <x:v>0.6436025097046898</x:v>
      </x:c>
      <x:c r="O6" s="93" t="n">
        <x:f>SUMIFS('Cell Lineage'!$Z$4:$Z$199,'Cell Lineage'!$A$4:$A$199,$A6,'Cell Lineage'!$D$4:$D$199,O$3)</x:f>
        <x:v>0.005166879298803904</x:v>
      </x:c>
    </x:row>
    <x:row r="7">
      <x:c r="A7" s="69" t="str">
        <x:v>CH</x:v>
      </x:c>
      <x:c r="B7" s="91" t="n">
        <x:f>SUMIFS('Cell Lineage'!$Z$4:$Z$199,'Cell Lineage'!$A$4:$A$199,$A7,'Cell Lineage'!$D$4:$D$199,B$3)</x:f>
        <x:v>0.00948860649193681</x:v>
      </x:c>
      <x:c r="C7" s="92" t="n">
        <x:f>SUMIFS('Cell Lineage'!$Z$4:$Z$199,'Cell Lineage'!$A$4:$A$199,$A7,'Cell Lineage'!$D$4:$D$199,C$3)</x:f>
        <x:v>0.0032647740797478474</x:v>
      </x:c>
      <x:c r="D7" s="92" t="n">
        <x:f>SUMIFS('Cell Lineage'!$Z$4:$Z$199,'Cell Lineage'!$A$4:$A$199,$A7,'Cell Lineage'!$D$4:$D$199,D$3)</x:f>
        <x:v>0.016188096389568682</x:v>
      </x:c>
      <x:c r="E7" s="100" t="n">
        <x:f>SUMIFS('Cell Lineage'!$Z$4:$Z$199,'Cell Lineage'!$A$4:$A$199,$A7,'Cell Lineage'!$D$4:$D$199,E$3)</x:f>
        <x:v>0</x:v>
      </x:c>
      <x:c r="F7" s="92" t="n">
        <x:f>SUMIFS('Cell Lineage'!$Z$4:$Z$199,'Cell Lineage'!$A$4:$A$199,$A7,'Cell Lineage'!$D$4:$D$199,F$3)</x:f>
        <x:v>0.07983835482189347</x:v>
      </x:c>
      <x:c r="G7" s="92" t="n">
        <x:f>SUMIFS('Cell Lineage'!$Z$4:$Z$199,'Cell Lineage'!$A$4:$A$199,$A7,'Cell Lineage'!$D$4:$D$199,G$3)</x:f>
        <x:v>0.5236532557142546</x:v>
      </x:c>
      <x:c r="H7" s="92" t="n">
        <x:f>SUMIFS('Cell Lineage'!$Z$4:$Z$199,'Cell Lineage'!$A$4:$A$199,$A7,'Cell Lineage'!$D$4:$D$199,H$3)</x:f>
        <x:v>0.05500623289083692</x:v>
      </x:c>
      <x:c r="I7" s="92" t="n">
        <x:f>SUMIFS('Cell Lineage'!$Z$4:$Z$199,'Cell Lineage'!$A$4:$A$199,$A7,'Cell Lineage'!$D$4:$D$199,I$3)</x:f>
        <x:v>0.03975359253726976</x:v>
      </x:c>
      <x:c r="J7" s="92" t="n">
        <x:f>SUMIFS('Cell Lineage'!$Z$4:$Z$199,'Cell Lineage'!$A$4:$A$199,$A7,'Cell Lineage'!$D$4:$D$199,J$3)</x:f>
        <x:v>0.008388817203683443</x:v>
      </x:c>
      <x:c r="K7" s="92" t="n">
        <x:f>SUMIFS('Cell Lineage'!$Z$4:$Z$199,'Cell Lineage'!$A$4:$A$199,$A7,'Cell Lineage'!$D$4:$D$199,K$3)</x:f>
        <x:v>0.0023147015139424526</x:v>
      </x:c>
      <x:c r="L7" s="92" t="n">
        <x:f>SUMIFS('Cell Lineage'!$Z$4:$Z$199,'Cell Lineage'!$A$4:$A$199,$A7,'Cell Lineage'!$D$4:$D$199,L$3)</x:f>
        <x:v>0.00249650299347341</x:v>
      </x:c>
      <x:c r="M7" s="92" t="n">
        <x:f>SUMIFS('Cell Lineage'!$Z$4:$Z$199,'Cell Lineage'!$A$4:$A$199,$A7,'Cell Lineage'!$D$4:$D$199,M$3)</x:f>
        <x:v>0.0005146696979840527</x:v>
      </x:c>
      <x:c r="N7" s="92" t="n">
        <x:f>SUMIFS('Cell Lineage'!$Z$4:$Z$199,'Cell Lineage'!$A$4:$A$199,$A7,'Cell Lineage'!$D$4:$D$199,N$3)</x:f>
        <x:v>0.25585576106877417</x:v>
      </x:c>
      <x:c r="O7" s="93" t="n">
        <x:f>SUMIFS('Cell Lineage'!$Z$4:$Z$199,'Cell Lineage'!$A$4:$A$199,$A7,'Cell Lineage'!$D$4:$D$199,O$3)</x:f>
        <x:v>0.0032366345966344137</x:v>
      </x:c>
    </x:row>
    <x:row r="8">
      <x:c r="A8" s="69" t="str">
        <x:v>CN</x:v>
      </x:c>
      <x:c r="B8" s="91" t="n">
        <x:f>SUMIFS('Cell Lineage'!$Z$4:$Z$199,'Cell Lineage'!$A$4:$A$199,$A8,'Cell Lineage'!$D$4:$D$199,B$3)</x:f>
        <x:v>0.034483948099882054</x:v>
      </x:c>
      <x:c r="C8" s="92" t="n">
        <x:f>SUMIFS('Cell Lineage'!$Z$4:$Z$199,'Cell Lineage'!$A$4:$A$199,$A8,'Cell Lineage'!$D$4:$D$199,C$3)</x:f>
        <x:v>0.007213356122527126</x:v>
      </x:c>
      <x:c r="D8" s="92" t="n">
        <x:f>SUMIFS('Cell Lineage'!$Z$4:$Z$199,'Cell Lineage'!$A$4:$A$199,$A8,'Cell Lineage'!$D$4:$D$199,D$3)</x:f>
        <x:v>0.021340549356960455</x:v>
      </x:c>
      <x:c r="E8" s="92" t="n">
        <x:f>SUMIFS('Cell Lineage'!$Z$4:$Z$199,'Cell Lineage'!$A$4:$A$199,$A8,'Cell Lineage'!$D$4:$D$199,E$3)</x:f>
        <x:v>0.025761563674265513</x:v>
      </x:c>
      <x:c r="F8" s="100" t="n">
        <x:f>SUMIFS('Cell Lineage'!$Z$4:$Z$199,'Cell Lineage'!$A$4:$A$199,$A8,'Cell Lineage'!$D$4:$D$199,F$3)</x:f>
        <x:v>0</x:v>
      </x:c>
      <x:c r="G8" s="92" t="n">
        <x:f>SUMIFS('Cell Lineage'!$Z$4:$Z$199,'Cell Lineage'!$A$4:$A$199,$A8,'Cell Lineage'!$D$4:$D$199,G$3)</x:f>
        <x:v>0.17806187228651962</x:v>
      </x:c>
      <x:c r="H8" s="92" t="n">
        <x:f>SUMIFS('Cell Lineage'!$Z$4:$Z$199,'Cell Lineage'!$A$4:$A$199,$A8,'Cell Lineage'!$D$4:$D$199,H$3)</x:f>
        <x:v>0.11756121664107833</x:v>
      </x:c>
      <x:c r="I8" s="92" t="n">
        <x:f>SUMIFS('Cell Lineage'!$Z$4:$Z$199,'Cell Lineage'!$A$4:$A$199,$A8,'Cell Lineage'!$D$4:$D$199,I$3)</x:f>
        <x:v>0.05873128075229129</x:v>
      </x:c>
      <x:c r="J8" s="92" t="n">
        <x:f>SUMIFS('Cell Lineage'!$Z$4:$Z$199,'Cell Lineage'!$A$4:$A$199,$A8,'Cell Lineage'!$D$4:$D$199,J$3)</x:f>
        <x:v>0.013191418468959359</x:v>
      </x:c>
      <x:c r="K8" s="92" t="n">
        <x:f>SUMIFS('Cell Lineage'!$Z$4:$Z$199,'Cell Lineage'!$A$4:$A$199,$A8,'Cell Lineage'!$D$4:$D$199,K$3)</x:f>
        <x:v>0.0021512779600289275</x:v>
      </x:c>
      <x:c r="L8" s="92" t="n">
        <x:f>SUMIFS('Cell Lineage'!$Z$4:$Z$199,'Cell Lineage'!$A$4:$A$199,$A8,'Cell Lineage'!$D$4:$D$199,L$3)</x:f>
        <x:v>0.014306942751481222</x:v>
      </x:c>
      <x:c r="M8" s="92" t="n">
        <x:f>SUMIFS('Cell Lineage'!$Z$4:$Z$199,'Cell Lineage'!$A$4:$A$199,$A8,'Cell Lineage'!$D$4:$D$199,M$3)</x:f>
        <x:v>0.0008549156446555443</x:v>
      </x:c>
      <x:c r="N8" s="92" t="n">
        <x:f>SUMIFS('Cell Lineage'!$Z$4:$Z$199,'Cell Lineage'!$A$4:$A$199,$A8,'Cell Lineage'!$D$4:$D$199,N$3)</x:f>
        <x:v>0.5238732790964258</x:v>
      </x:c>
      <x:c r="O8" s="93" t="n">
        <x:f>SUMIFS('Cell Lineage'!$Z$4:$Z$199,'Cell Lineage'!$A$4:$A$199,$A8,'Cell Lineage'!$D$4:$D$199,O$3)</x:f>
        <x:v>0.0024683791449247286</x:v>
      </x:c>
    </x:row>
    <x:row r="9">
      <x:c r="A9" s="69" t="str">
        <x:v>EA</x:v>
      </x:c>
      <x:c r="B9" s="91" t="n">
        <x:f>SUMIFS('Cell Lineage'!$Z$4:$Z$199,'Cell Lineage'!$A$4:$A$199,$A9,'Cell Lineage'!$D$4:$D$199,B$3)</x:f>
        <x:v>0.019031107737513625</x:v>
      </x:c>
      <x:c r="C9" s="92" t="n">
        <x:f>SUMIFS('Cell Lineage'!$Z$4:$Z$199,'Cell Lineage'!$A$4:$A$199,$A9,'Cell Lineage'!$D$4:$D$199,C$3)</x:f>
        <x:v>0.01283958553756767</x:v>
      </x:c>
      <x:c r="D9" s="92" t="n">
        <x:f>SUMIFS('Cell Lineage'!$Z$4:$Z$199,'Cell Lineage'!$A$4:$A$199,$A9,'Cell Lineage'!$D$4:$D$199,D$3)</x:f>
        <x:v>0.027091179473355684</x:v>
      </x:c>
      <x:c r="E9" s="92" t="n">
        <x:f>SUMIFS('Cell Lineage'!$Z$4:$Z$199,'Cell Lineage'!$A$4:$A$199,$A9,'Cell Lineage'!$D$4:$D$199,E$3)</x:f>
        <x:v>0.07172074640948789</x:v>
      </x:c>
      <x:c r="F9" s="92" t="n">
        <x:f>SUMIFS('Cell Lineage'!$Z$4:$Z$199,'Cell Lineage'!$A$4:$A$199,$A9,'Cell Lineage'!$D$4:$D$199,F$3)</x:f>
        <x:v>0.08829890048101888</x:v>
      </x:c>
      <x:c r="G9" s="100" t="n">
        <x:f>SUMIFS('Cell Lineage'!$Z$4:$Z$199,'Cell Lineage'!$A$4:$A$199,$A9,'Cell Lineage'!$D$4:$D$199,G$3)</x:f>
        <x:v>0</x:v>
      </x:c>
      <x:c r="H9" s="92" t="n">
        <x:f>SUMIFS('Cell Lineage'!$Z$4:$Z$199,'Cell Lineage'!$A$4:$A$199,$A9,'Cell Lineage'!$D$4:$D$199,H$3)</x:f>
        <x:v>0.1524833001402038</x:v>
      </x:c>
      <x:c r="I9" s="92" t="n">
        <x:f>SUMIFS('Cell Lineage'!$Z$4:$Z$199,'Cell Lineage'!$A$4:$A$199,$A9,'Cell Lineage'!$D$4:$D$199,I$3)</x:f>
        <x:v>0.09213138671796173</x:v>
      </x:c>
      <x:c r="J9" s="92" t="n">
        <x:f>SUMIFS('Cell Lineage'!$Z$4:$Z$199,'Cell Lineage'!$A$4:$A$199,$A9,'Cell Lineage'!$D$4:$D$199,J$3)</x:f>
        <x:v>0.026498296169120666</x:v>
      </x:c>
      <x:c r="K9" s="92" t="n">
        <x:f>SUMIFS('Cell Lineage'!$Z$4:$Z$199,'Cell Lineage'!$A$4:$A$199,$A9,'Cell Lineage'!$D$4:$D$199,K$3)</x:f>
        <x:v>0.008479887672708237</x:v>
      </x:c>
      <x:c r="L9" s="92" t="n">
        <x:f>SUMIFS('Cell Lineage'!$Z$4:$Z$199,'Cell Lineage'!$A$4:$A$199,$A9,'Cell Lineage'!$D$4:$D$199,L$3)</x:f>
        <x:v>0.0066335708213408244</x:v>
      </x:c>
      <x:c r="M9" s="92" t="n">
        <x:f>SUMIFS('Cell Lineage'!$Z$4:$Z$199,'Cell Lineage'!$A$4:$A$199,$A9,'Cell Lineage'!$D$4:$D$199,M$3)</x:f>
        <x:v>0.0029952471605385954</x:v>
      </x:c>
      <x:c r="N9" s="92" t="n">
        <x:f>SUMIFS('Cell Lineage'!$Z$4:$Z$199,'Cell Lineage'!$A$4:$A$199,$A9,'Cell Lineage'!$D$4:$D$199,N$3)</x:f>
        <x:v>0.4822677853783061</x:v>
      </x:c>
      <x:c r="O9" s="93" t="n">
        <x:f>SUMIFS('Cell Lineage'!$Z$4:$Z$199,'Cell Lineage'!$A$4:$A$199,$A9,'Cell Lineage'!$D$4:$D$199,O$3)</x:f>
        <x:v>0.009529006300876212</x:v>
      </x:c>
    </x:row>
    <x:row r="10">
      <x:c r="A10" s="69" t="str">
        <x:v>UK</x:v>
      </x:c>
      <x:c r="B10" s="91" t="n">
        <x:f>SUMIFS('Cell Lineage'!$Z$4:$Z$199,'Cell Lineage'!$A$4:$A$199,$A10,'Cell Lineage'!$D$4:$D$199,B$3)</x:f>
        <x:v>0.022112361024344954</x:v>
      </x:c>
      <x:c r="C10" s="92" t="n">
        <x:f>SUMIFS('Cell Lineage'!$Z$4:$Z$199,'Cell Lineage'!$A$4:$A$199,$A10,'Cell Lineage'!$D$4:$D$199,C$3)</x:f>
        <x:v>0.00696238327237863</x:v>
      </x:c>
      <x:c r="D10" s="92" t="n">
        <x:f>SUMIFS('Cell Lineage'!$Z$4:$Z$199,'Cell Lineage'!$A$4:$A$199,$A10,'Cell Lineage'!$D$4:$D$199,D$3)</x:f>
        <x:v>0.01825636111097257</x:v>
      </x:c>
      <x:c r="E10" s="92" t="n">
        <x:f>SUMIFS('Cell Lineage'!$Z$4:$Z$199,'Cell Lineage'!$A$4:$A$199,$A10,'Cell Lineage'!$D$4:$D$199,E$3)</x:f>
        <x:v>0.04026272733337276</x:v>
      </x:c>
      <x:c r="F10" s="92" t="n">
        <x:f>SUMIFS('Cell Lineage'!$Z$4:$Z$199,'Cell Lineage'!$A$4:$A$199,$A10,'Cell Lineage'!$D$4:$D$199,F$3)</x:f>
        <x:v>0.04958612511782187</x:v>
      </x:c>
      <x:c r="G10" s="92" t="n">
        <x:f>SUMIFS('Cell Lineage'!$Z$4:$Z$199,'Cell Lineage'!$A$4:$A$199,$A10,'Cell Lineage'!$D$4:$D$199,G$3)</x:f>
        <x:v>0.3099261575554155</x:v>
      </x:c>
      <x:c r="H10" s="100" t="n">
        <x:f>SUMIFS('Cell Lineage'!$Z$4:$Z$199,'Cell Lineage'!$A$4:$A$199,$A10,'Cell Lineage'!$D$4:$D$199,H$3)</x:f>
        <x:v>0</x:v>
      </x:c>
      <x:c r="I10" s="92" t="n">
        <x:f>SUMIFS('Cell Lineage'!$Z$4:$Z$199,'Cell Lineage'!$A$4:$A$199,$A10,'Cell Lineage'!$D$4:$D$199,I$3)</x:f>
        <x:v>0.07642087223208455</x:v>
      </x:c>
      <x:c r="J10" s="92" t="n">
        <x:f>SUMIFS('Cell Lineage'!$Z$4:$Z$199,'Cell Lineage'!$A$4:$A$199,$A10,'Cell Lineage'!$D$4:$D$199,J$3)</x:f>
        <x:v>0.020527740553436633</x:v>
      </x:c>
      <x:c r="K10" s="92" t="n">
        <x:f>SUMIFS('Cell Lineage'!$Z$4:$Z$199,'Cell Lineage'!$A$4:$A$199,$A10,'Cell Lineage'!$D$4:$D$199,K$3)</x:f>
        <x:v>0.005068370926914365</x:v>
      </x:c>
      <x:c r="L10" s="92" t="n">
        <x:f>SUMIFS('Cell Lineage'!$Z$4:$Z$199,'Cell Lineage'!$A$4:$A$199,$A10,'Cell Lineage'!$D$4:$D$199,L$3)</x:f>
        <x:v>0.00760531720413959</x:v>
      </x:c>
      <x:c r="M10" s="92" t="n">
        <x:f>SUMIFS('Cell Lineage'!$Z$4:$Z$199,'Cell Lineage'!$A$4:$A$199,$A10,'Cell Lineage'!$D$4:$D$199,M$3)</x:f>
        <x:v>0.0020215073783487326</x:v>
      </x:c>
      <x:c r="N10" s="92" t="n">
        <x:f>SUMIFS('Cell Lineage'!$Z$4:$Z$199,'Cell Lineage'!$A$4:$A$199,$A10,'Cell Lineage'!$D$4:$D$199,N$3)</x:f>
        <x:v>0.4351271944611505</x:v>
      </x:c>
      <x:c r="O10" s="93" t="n">
        <x:f>SUMIFS('Cell Lineage'!$Z$4:$Z$199,'Cell Lineage'!$A$4:$A$199,$A10,'Cell Lineage'!$D$4:$D$199,O$3)</x:f>
        <x:v>0.006122881829619316</x:v>
      </x:c>
    </x:row>
    <x:row r="11">
      <x:c r="A11" s="69" t="str">
        <x:v>JP</x:v>
      </x:c>
      <x:c r="B11" s="91" t="n">
        <x:f>SUMIFS('Cell Lineage'!$Z$4:$Z$199,'Cell Lineage'!$A$4:$A$199,$A11,'Cell Lineage'!$D$4:$D$199,B$3)</x:f>
        <x:v>0.019130463081262695</x:v>
      </x:c>
      <x:c r="C11" s="92" t="n">
        <x:f>SUMIFS('Cell Lineage'!$Z$4:$Z$199,'Cell Lineage'!$A$4:$A$199,$A11,'Cell Lineage'!$D$4:$D$199,C$3)</x:f>
        <x:v>0.0037492874138782355</x:v>
      </x:c>
      <x:c r="D11" s="92" t="n">
        <x:f>SUMIFS('Cell Lineage'!$Z$4:$Z$199,'Cell Lineage'!$A$4:$A$199,$A11,'Cell Lineage'!$D$4:$D$199,D$3)</x:f>
        <x:v>0.017308141067146992</x:v>
      </x:c>
      <x:c r="E11" s="92" t="n">
        <x:f>SUMIFS('Cell Lineage'!$Z$4:$Z$199,'Cell Lineage'!$A$4:$A$199,$A11,'Cell Lineage'!$D$4:$D$199,E$3)</x:f>
        <x:v>0.019279667051129837</x:v>
      </x:c>
      <x:c r="F11" s="92" t="n">
        <x:f>SUMIFS('Cell Lineage'!$Z$4:$Z$199,'Cell Lineage'!$A$4:$A$199,$A11,'Cell Lineage'!$D$4:$D$199,F$3)</x:f>
        <x:v>0.35320875977116106</x:v>
      </x:c>
      <x:c r="G11" s="92" t="n">
        <x:f>SUMIFS('Cell Lineage'!$Z$4:$Z$199,'Cell Lineage'!$A$4:$A$199,$A11,'Cell Lineage'!$D$4:$D$199,G$3)</x:f>
        <x:v>0.15182155149470142</x:v>
      </x:c>
      <x:c r="H11" s="92" t="n">
        <x:f>SUMIFS('Cell Lineage'!$Z$4:$Z$199,'Cell Lineage'!$A$4:$A$199,$A11,'Cell Lineage'!$D$4:$D$199,H$3)</x:f>
        <x:v>0.03593910849712095</x:v>
      </x:c>
      <x:c r="I11" s="100" t="n">
        <x:f>SUMIFS('Cell Lineage'!$Z$4:$Z$199,'Cell Lineage'!$A$4:$A$199,$A11,'Cell Lineage'!$D$4:$D$199,I$3)</x:f>
        <x:v>0</x:v>
      </x:c>
      <x:c r="J11" s="92" t="n">
        <x:f>SUMIFS('Cell Lineage'!$Z$4:$Z$199,'Cell Lineage'!$A$4:$A$199,$A11,'Cell Lineage'!$D$4:$D$199,J$3)</x:f>
        <x:v>0.009223761483756266</x:v>
      </x:c>
      <x:c r="K11" s="92" t="n">
        <x:f>SUMIFS('Cell Lineage'!$Z$4:$Z$199,'Cell Lineage'!$A$4:$A$199,$A11,'Cell Lineage'!$D$4:$D$199,K$3)</x:f>
        <x:v>0.0014555416985843012</x:v>
      </x:c>
      <x:c r="L11" s="92" t="n">
        <x:f>SUMIFS('Cell Lineage'!$Z$4:$Z$199,'Cell Lineage'!$A$4:$A$199,$A11,'Cell Lineage'!$D$4:$D$199,L$3)</x:f>
        <x:v>0.009305825607208298</x:v>
      </x:c>
      <x:c r="M11" s="92" t="n">
        <x:f>SUMIFS('Cell Lineage'!$Z$4:$Z$199,'Cell Lineage'!$A$4:$A$199,$A11,'Cell Lineage'!$D$4:$D$199,M$3)</x:f>
        <x:v>0.0006614578136799108</x:v>
      </x:c>
      <x:c r="N11" s="92" t="n">
        <x:f>SUMIFS('Cell Lineage'!$Z$4:$Z$199,'Cell Lineage'!$A$4:$A$199,$A11,'Cell Lineage'!$D$4:$D$199,N$3)</x:f>
        <x:v>0.37554395294894444</x:v>
      </x:c>
      <x:c r="O11" s="93" t="n">
        <x:f>SUMIFS('Cell Lineage'!$Z$4:$Z$199,'Cell Lineage'!$A$4:$A$199,$A11,'Cell Lineage'!$D$4:$D$199,O$3)</x:f>
        <x:v>0.003372482071425659</x:v>
      </x:c>
    </x:row>
    <x:row r="12">
      <x:c r="A12" s="69" t="str">
        <x:v>KR</x:v>
      </x:c>
      <x:c r="B12" s="91" t="n">
        <x:f>SUMIFS('Cell Lineage'!$Z$4:$Z$199,'Cell Lineage'!$A$4:$A$199,$A12,'Cell Lineage'!$D$4:$D$199,B$3)</x:f>
        <x:v>0.02116660869928444</x:v>
      </x:c>
      <x:c r="C12" s="92" t="n">
        <x:f>SUMIFS('Cell Lineage'!$Z$4:$Z$199,'Cell Lineage'!$A$4:$A$199,$A12,'Cell Lineage'!$D$4:$D$199,C$3)</x:f>
        <x:v>0.005652562767155237</x:v>
      </x:c>
      <x:c r="D12" s="92" t="n">
        <x:f>SUMIFS('Cell Lineage'!$Z$4:$Z$199,'Cell Lineage'!$A$4:$A$199,$A12,'Cell Lineage'!$D$4:$D$199,D$3)</x:f>
        <x:v>0.018677857229619385</x:v>
      </x:c>
      <x:c r="E12" s="92" t="n">
        <x:f>SUMIFS('Cell Lineage'!$Z$4:$Z$199,'Cell Lineage'!$A$4:$A$199,$A12,'Cell Lineage'!$D$4:$D$199,E$3)</x:f>
        <x:v>0.020409100501492198</x:v>
      </x:c>
      <x:c r="F12" s="92" t="n">
        <x:f>SUMIFS('Cell Lineage'!$Z$4:$Z$199,'Cell Lineage'!$A$4:$A$199,$A12,'Cell Lineage'!$D$4:$D$199,F$3)</x:f>
        <x:v>0.0940638863324137</x:v>
      </x:c>
      <x:c r="G12" s="92" t="n">
        <x:f>SUMIFS('Cell Lineage'!$Z$4:$Z$199,'Cell Lineage'!$A$4:$A$199,$A12,'Cell Lineage'!$D$4:$D$199,G$3)</x:f>
        <x:v>0.1952670976350246</x:v>
      </x:c>
      <x:c r="H12" s="92" t="n">
        <x:f>SUMIFS('Cell Lineage'!$Z$4:$Z$199,'Cell Lineage'!$A$4:$A$199,$A12,'Cell Lineage'!$D$4:$D$199,H$3)</x:f>
        <x:v>0.05730995102391226</x:v>
      </x:c>
      <x:c r="I12" s="92" t="n">
        <x:f>SUMIFS('Cell Lineage'!$Z$4:$Z$199,'Cell Lineage'!$A$4:$A$199,$A12,'Cell Lineage'!$D$4:$D$199,I$3)</x:f>
        <x:v>0.06480337276070156</x:v>
      </x:c>
      <x:c r="J12" s="100" t="n">
        <x:f>SUMIFS('Cell Lineage'!$Z$4:$Z$199,'Cell Lineage'!$A$4:$A$199,$A12,'Cell Lineage'!$D$4:$D$199,J$3)</x:f>
        <x:v>0</x:v>
      </x:c>
      <x:c r="K12" s="92" t="n">
        <x:f>SUMIFS('Cell Lineage'!$Z$4:$Z$199,'Cell Lineage'!$A$4:$A$199,$A12,'Cell Lineage'!$D$4:$D$199,K$3)</x:f>
        <x:v>0.0018706286519489881</x:v>
      </x:c>
      <x:c r="L12" s="92" t="n">
        <x:f>SUMIFS('Cell Lineage'!$Z$4:$Z$199,'Cell Lineage'!$A$4:$A$199,$A12,'Cell Lineage'!$D$4:$D$199,L$3)</x:f>
        <x:v>0.008108978541541186</x:v>
      </x:c>
      <x:c r="M12" s="92" t="n">
        <x:f>SUMIFS('Cell Lineage'!$Z$4:$Z$199,'Cell Lineage'!$A$4:$A$199,$A12,'Cell Lineage'!$D$4:$D$199,M$3)</x:f>
        <x:v>0.0013331236675668367</x:v>
      </x:c>
      <x:c r="N12" s="92" t="n">
        <x:f>SUMIFS('Cell Lineage'!$Z$4:$Z$199,'Cell Lineage'!$A$4:$A$199,$A12,'Cell Lineage'!$D$4:$D$199,N$3)</x:f>
        <x:v>0.5070823219784784</x:v>
      </x:c>
      <x:c r="O12" s="93" t="n">
        <x:f>SUMIFS('Cell Lineage'!$Z$4:$Z$199,'Cell Lineage'!$A$4:$A$199,$A12,'Cell Lineage'!$D$4:$D$199,O$3)</x:f>
        <x:v>0.004254510210861333</x:v>
      </x:c>
    </x:row>
    <x:row r="13">
      <x:c r="A13" s="69" t="str">
        <x:v>NO</x:v>
      </x:c>
      <x:c r="B13" s="91" t="n">
        <x:f>SUMIFS('Cell Lineage'!$Z$4:$Z$199,'Cell Lineage'!$A$4:$A$199,$A13,'Cell Lineage'!$D$4:$D$199,B$3)</x:f>
        <x:v>0.023211281819786562</x:v>
      </x:c>
      <x:c r="C13" s="92" t="n">
        <x:f>SUMIFS('Cell Lineage'!$Z$4:$Z$199,'Cell Lineage'!$A$4:$A$199,$A13,'Cell Lineage'!$D$4:$D$199,C$3)</x:f>
        <x:v>0.007396307486392511</x:v>
      </x:c>
      <x:c r="D13" s="92" t="n">
        <x:f>SUMIFS('Cell Lineage'!$Z$4:$Z$199,'Cell Lineage'!$A$4:$A$199,$A13,'Cell Lineage'!$D$4:$D$199,D$3)</x:f>
        <x:v>0.026137147439123355</x:v>
      </x:c>
      <x:c r="E13" s="92" t="n">
        <x:f>SUMIFS('Cell Lineage'!$Z$4:$Z$199,'Cell Lineage'!$A$4:$A$199,$A13,'Cell Lineage'!$D$4:$D$199,E$3)</x:f>
        <x:v>0.0455710156471741</x:v>
      </x:c>
      <x:c r="F13" s="92" t="n">
        <x:f>SUMIFS('Cell Lineage'!$Z$4:$Z$199,'Cell Lineage'!$A$4:$A$199,$A13,'Cell Lineage'!$D$4:$D$199,F$3)</x:f>
        <x:v>0.039631463674267536</x:v>
      </x:c>
      <x:c r="G13" s="92" t="n">
        <x:f>SUMIFS('Cell Lineage'!$Z$4:$Z$199,'Cell Lineage'!$A$4:$A$199,$A13,'Cell Lineage'!$D$4:$D$199,G$3)</x:f>
        <x:v>0.25610673081397556</x:v>
      </x:c>
      <x:c r="H13" s="92" t="n">
        <x:f>SUMIFS('Cell Lineage'!$Z$4:$Z$199,'Cell Lineage'!$A$4:$A$199,$A13,'Cell Lineage'!$D$4:$D$199,H$3)</x:f>
        <x:v>0.09040650320512014</x:v>
      </x:c>
      <x:c r="I13" s="92" t="n">
        <x:f>SUMIFS('Cell Lineage'!$Z$4:$Z$199,'Cell Lineage'!$A$4:$A$199,$A13,'Cell Lineage'!$D$4:$D$199,I$3)</x:f>
        <x:v>0.09573875372759663</x:v>
      </x:c>
      <x:c r="J13" s="92" t="n">
        <x:f>SUMIFS('Cell Lineage'!$Z$4:$Z$199,'Cell Lineage'!$A$4:$A$199,$A13,'Cell Lineage'!$D$4:$D$199,J$3)</x:f>
        <x:v>0.021323874736282895</x:v>
      </x:c>
      <x:c r="K13" s="100" t="n">
        <x:f>SUMIFS('Cell Lineage'!$Z$4:$Z$199,'Cell Lineage'!$A$4:$A$199,$A13,'Cell Lineage'!$D$4:$D$199,K$3)</x:f>
        <x:v>0</x:v>
      </x:c>
      <x:c r="L13" s="92" t="n">
        <x:f>SUMIFS('Cell Lineage'!$Z$4:$Z$199,'Cell Lineage'!$A$4:$A$199,$A13,'Cell Lineage'!$D$4:$D$199,L$3)</x:f>
        <x:v>0.004677619167233332</x:v>
      </x:c>
      <x:c r="M13" s="92" t="n">
        <x:f>SUMIFS('Cell Lineage'!$Z$4:$Z$199,'Cell Lineage'!$A$4:$A$199,$A13,'Cell Lineage'!$D$4:$D$199,M$3)</x:f>
        <x:v>0.0023477786686562255</x:v>
      </x:c>
      <x:c r="N13" s="92" t="n">
        <x:f>SUMIFS('Cell Lineage'!$Z$4:$Z$199,'Cell Lineage'!$A$4:$A$199,$A13,'Cell Lineage'!$D$4:$D$199,N$3)</x:f>
        <x:v>0.37924985855388027</x:v>
      </x:c>
      <x:c r="O13" s="93" t="n">
        <x:f>SUMIFS('Cell Lineage'!$Z$4:$Z$199,'Cell Lineage'!$A$4:$A$199,$A13,'Cell Lineage'!$D$4:$D$199,O$3)</x:f>
        <x:v>0.008201665060510914</x:v>
      </x:c>
    </x:row>
    <x:row r="14">
      <x:c r="A14" s="69" t="str">
        <x:v>SG</x:v>
      </x:c>
      <x:c r="B14" s="91" t="n">
        <x:f>SUMIFS('Cell Lineage'!$Z$4:$Z$199,'Cell Lineage'!$A$4:$A$199,$A14,'Cell Lineage'!$D$4:$D$199,B$3)</x:f>
        <x:v>0.025916675048286687</x:v>
      </x:c>
      <x:c r="C14" s="92" t="n">
        <x:f>SUMIFS('Cell Lineage'!$Z$4:$Z$199,'Cell Lineage'!$A$4:$A$199,$A14,'Cell Lineage'!$D$4:$D$199,C$3)</x:f>
        <x:v>0.00017662793055458182</x:v>
      </x:c>
      <x:c r="D14" s="92" t="n">
        <x:f>SUMIFS('Cell Lineage'!$Z$4:$Z$199,'Cell Lineage'!$A$4:$A$199,$A14,'Cell Lineage'!$D$4:$D$199,D$3)</x:f>
        <x:v>0.02086431396611681</x:v>
      </x:c>
      <x:c r="E14" s="92" t="n">
        <x:f>SUMIFS('Cell Lineage'!$Z$4:$Z$199,'Cell Lineage'!$A$4:$A$199,$A14,'Cell Lineage'!$D$4:$D$199,E$3)</x:f>
        <x:v>0.01899513041260607</x:v>
      </x:c>
      <x:c r="F14" s="92" t="n">
        <x:f>SUMIFS('Cell Lineage'!$Z$4:$Z$199,'Cell Lineage'!$A$4:$A$199,$A14,'Cell Lineage'!$D$4:$D$199,F$3)</x:f>
        <x:v>0.26648848137018843</x:v>
      </x:c>
      <x:c r="G14" s="92" t="n">
        <x:f>SUMIFS('Cell Lineage'!$Z$4:$Z$199,'Cell Lineage'!$A$4:$A$199,$A14,'Cell Lineage'!$D$4:$D$199,G$3)</x:f>
        <x:v>0.10208361941051382</x:v>
      </x:c>
      <x:c r="H14" s="92" t="n">
        <x:f>SUMIFS('Cell Lineage'!$Z$4:$Z$199,'Cell Lineage'!$A$4:$A$199,$A14,'Cell Lineage'!$D$4:$D$199,H$3)</x:f>
        <x:v>0.05013616488354442</x:v>
      </x:c>
      <x:c r="I14" s="92" t="n">
        <x:f>SUMIFS('Cell Lineage'!$Z$4:$Z$199,'Cell Lineage'!$A$4:$A$199,$A14,'Cell Lineage'!$D$4:$D$199,I$3)</x:f>
        <x:v>0.0924735577570735</x:v>
      </x:c>
      <x:c r="J14" s="92" t="n">
        <x:f>SUMIFS('Cell Lineage'!$Z$4:$Z$199,'Cell Lineage'!$A$4:$A$199,$A14,'Cell Lineage'!$D$4:$D$199,J$3)</x:f>
        <x:v>0.06189383311374531</x:v>
      </x:c>
      <x:c r="K14" s="92" t="n">
        <x:f>SUMIFS('Cell Lineage'!$Z$4:$Z$199,'Cell Lineage'!$A$4:$A$199,$A14,'Cell Lineage'!$D$4:$D$199,K$3)</x:f>
        <x:v>0.0003322776242692037</x:v>
      </x:c>
      <x:c r="L14" s="100" t="n">
        <x:f>SUMIFS('Cell Lineage'!$Z$4:$Z$199,'Cell Lineage'!$A$4:$A$199,$A14,'Cell Lineage'!$D$4:$D$199,L$3)</x:f>
        <x:v>0</x:v>
      </x:c>
      <x:c r="M14" s="92" t="n">
        <x:f>SUMIFS('Cell Lineage'!$Z$4:$Z$199,'Cell Lineage'!$A$4:$A$199,$A14,'Cell Lineage'!$D$4:$D$199,M$3)</x:f>
        <x:v>0.00001906981646364783</x:v>
      </x:c>
      <x:c r="N14" s="92" t="n">
        <x:f>SUMIFS('Cell Lineage'!$Z$4:$Z$199,'Cell Lineage'!$A$4:$A$199,$A14,'Cell Lineage'!$D$4:$D$199,N$3)</x:f>
        <x:v>0.360470899332311</x:v>
      </x:c>
      <x:c r="O14" s="93" t="n">
        <x:f>SUMIFS('Cell Lineage'!$Z$4:$Z$199,'Cell Lineage'!$A$4:$A$199,$A14,'Cell Lineage'!$D$4:$D$199,O$3)</x:f>
        <x:v>0.00014934933432646675</x:v>
      </x:c>
    </x:row>
    <x:row r="15">
      <x:c r="A15" s="69" t="str">
        <x:v>TR</x:v>
      </x:c>
      <x:c r="B15" s="91" t="n">
        <x:f>SUMIFS('Cell Lineage'!$Z$4:$Z$199,'Cell Lineage'!$A$4:$A$199,$A15,'Cell Lineage'!$D$4:$D$199,B$3)</x:f>
        <x:v>0.00241301713490461</x:v>
      </x:c>
      <x:c r="C15" s="92" t="n">
        <x:f>SUMIFS('Cell Lineage'!$Z$4:$Z$199,'Cell Lineage'!$A$4:$A$199,$A15,'Cell Lineage'!$D$4:$D$199,C$3)</x:f>
        <x:v>0.00022237680032744528</x:v>
      </x:c>
      <x:c r="D15" s="92" t="n">
        <x:f>SUMIFS('Cell Lineage'!$Z$4:$Z$199,'Cell Lineage'!$A$4:$A$199,$A15,'Cell Lineage'!$D$4:$D$199,D$3)</x:f>
        <x:v>0.021225370363494776</x:v>
      </x:c>
      <x:c r="E15" s="92" t="n">
        <x:f>SUMIFS('Cell Lineage'!$Z$4:$Z$199,'Cell Lineage'!$A$4:$A$199,$A15,'Cell Lineage'!$D$4:$D$199,E$3)</x:f>
        <x:v>0.014202219893774107</x:v>
      </x:c>
      <x:c r="F15" s="92" t="n">
        <x:f>SUMIFS('Cell Lineage'!$Z$4:$Z$199,'Cell Lineage'!$A$4:$A$199,$A15,'Cell Lineage'!$D$4:$D$199,F$3)</x:f>
        <x:v>0.03238361380490344</x:v>
      </x:c>
      <x:c r="G15" s="92" t="n">
        <x:f>SUMIFS('Cell Lineage'!$Z$4:$Z$199,'Cell Lineage'!$A$4:$A$199,$A15,'Cell Lineage'!$D$4:$D$199,G$3)</x:f>
        <x:v>0.10913618695240368</x:v>
      </x:c>
      <x:c r="H15" s="92" t="n">
        <x:f>SUMIFS('Cell Lineage'!$Z$4:$Z$199,'Cell Lineage'!$A$4:$A$199,$A15,'Cell Lineage'!$D$4:$D$199,H$3)</x:f>
        <x:v>0.03197756965875444</x:v>
      </x:c>
      <x:c r="I15" s="92" t="n">
        <x:f>SUMIFS('Cell Lineage'!$Z$4:$Z$199,'Cell Lineage'!$A$4:$A$199,$A15,'Cell Lineage'!$D$4:$D$199,I$3)</x:f>
        <x:v>0.005199390074884522</x:v>
      </x:c>
      <x:c r="J15" s="92" t="n">
        <x:f>SUMIFS('Cell Lineage'!$Z$4:$Z$199,'Cell Lineage'!$A$4:$A$199,$A15,'Cell Lineage'!$D$4:$D$199,J$3)</x:f>
        <x:v>0.00007954020477655123</x:v>
      </x:c>
      <x:c r="K15" s="92" t="n">
        <x:f>SUMIFS('Cell Lineage'!$Z$4:$Z$199,'Cell Lineage'!$A$4:$A$199,$A15,'Cell Lineage'!$D$4:$D$199,K$3)</x:f>
        <x:v>0.0002261684457159185</x:v>
      </x:c>
      <x:c r="L15" s="92" t="n">
        <x:f>SUMIFS('Cell Lineage'!$Z$4:$Z$199,'Cell Lineage'!$A$4:$A$199,$A15,'Cell Lineage'!$D$4:$D$199,L$3)</x:f>
        <x:v>0.00041356834425388967</x:v>
      </x:c>
      <x:c r="M15" s="100" t="n">
        <x:f>SUMIFS('Cell Lineage'!$Z$4:$Z$199,'Cell Lineage'!$A$4:$A$199,$A15,'Cell Lineage'!$D$4:$D$199,M$3)</x:f>
        <x:v>0</x:v>
      </x:c>
      <x:c r="N15" s="92" t="n">
        <x:f>SUMIFS('Cell Lineage'!$Z$4:$Z$199,'Cell Lineage'!$A$4:$A$199,$A15,'Cell Lineage'!$D$4:$D$199,N$3)</x:f>
        <x:v>0.7824315893273558</x:v>
      </x:c>
      <x:c r="O15" s="93" t="n">
        <x:f>SUMIFS('Cell Lineage'!$Z$4:$Z$199,'Cell Lineage'!$A$4:$A$199,$A15,'Cell Lineage'!$D$4:$D$199,O$3)</x:f>
        <x:v>0.00008938899445090843</x:v>
      </x:c>
    </x:row>
    <x:row r="16">
      <x:c r="A16" s="69" t="str">
        <x:v>US</x:v>
      </x:c>
      <x:c r="B16" s="91" t="n">
        <x:f>SUMIFS('Cell Lineage'!$Z$4:$Z$199,'Cell Lineage'!$A$4:$A$199,$A16,'Cell Lineage'!$D$4:$D$199,B$3)</x:f>
        <x:v>0.03180292300631867</x:v>
      </x:c>
      <x:c r="C16" s="92" t="n">
        <x:f>SUMIFS('Cell Lineage'!$Z$4:$Z$199,'Cell Lineage'!$A$4:$A$199,$A16,'Cell Lineage'!$D$4:$D$199,C$3)</x:f>
        <x:v>0.01776939699948218</x:v>
      </x:c>
      <x:c r="D16" s="92" t="n">
        <x:f>SUMIFS('Cell Lineage'!$Z$4:$Z$199,'Cell Lineage'!$A$4:$A$199,$A16,'Cell Lineage'!$D$4:$D$199,D$3)</x:f>
        <x:v>0.0813856310346574</x:v>
      </x:c>
      <x:c r="E16" s="92" t="n">
        <x:f>SUMIFS('Cell Lineage'!$Z$4:$Z$199,'Cell Lineage'!$A$4:$A$199,$A16,'Cell Lineage'!$D$4:$D$199,E$3)</x:f>
        <x:v>0.06766032362163178</x:v>
      </x:c>
      <x:c r="F16" s="92" t="n">
        <x:f>SUMIFS('Cell Lineage'!$Z$4:$Z$199,'Cell Lineage'!$A$4:$A$199,$A16,'Cell Lineage'!$D$4:$D$199,F$3)</x:f>
        <x:v>0.11775247457932107</x:v>
      </x:c>
      <x:c r="G16" s="92" t="n">
        <x:f>SUMIFS('Cell Lineage'!$Z$4:$Z$199,'Cell Lineage'!$A$4:$A$199,$A16,'Cell Lineage'!$D$4:$D$199,G$3)</x:f>
        <x:v>0.29027377931290793</x:v>
      </x:c>
      <x:c r="H16" s="92" t="n">
        <x:f>SUMIFS('Cell Lineage'!$Z$4:$Z$199,'Cell Lineage'!$A$4:$A$199,$A16,'Cell Lineage'!$D$4:$D$199,H$3)</x:f>
        <x:v>0.1691704670059383</x:v>
      </x:c>
      <x:c r="I16" s="92" t="n">
        <x:f>SUMIFS('Cell Lineage'!$Z$4:$Z$199,'Cell Lineage'!$A$4:$A$199,$A16,'Cell Lineage'!$D$4:$D$199,I$3)</x:f>
        <x:v>0.15164248837979244</x:v>
      </x:c>
      <x:c r="J16" s="92" t="n">
        <x:f>SUMIFS('Cell Lineage'!$Z$4:$Z$199,'Cell Lineage'!$A$4:$A$199,$A16,'Cell Lineage'!$D$4:$D$199,J$3)</x:f>
        <x:v>0.03789132568779266</x:v>
      </x:c>
      <x:c r="K16" s="92" t="n">
        <x:f>SUMIFS('Cell Lineage'!$Z$4:$Z$199,'Cell Lineage'!$A$4:$A$199,$A16,'Cell Lineage'!$D$4:$D$199,K$3)</x:f>
        <x:v>0.006248157746237816</x:v>
      </x:c>
      <x:c r="L16" s="92" t="n">
        <x:f>SUMIFS('Cell Lineage'!$Z$4:$Z$199,'Cell Lineage'!$A$4:$A$199,$A16,'Cell Lineage'!$D$4:$D$199,L$3)</x:f>
        <x:v>0.007816858667680247</x:v>
      </x:c>
      <x:c r="M16" s="92" t="n">
        <x:f>SUMIFS('Cell Lineage'!$Z$4:$Z$199,'Cell Lineage'!$A$4:$A$199,$A16,'Cell Lineage'!$D$4:$D$199,M$3)</x:f>
        <x:v>0.0036410938642568863</x:v>
      </x:c>
      <x:c r="N16" s="100" t="n">
        <x:f>SUMIFS('Cell Lineage'!$Z$4:$Z$199,'Cell Lineage'!$A$4:$A$199,$A16,'Cell Lineage'!$D$4:$D$199,N$3)</x:f>
        <x:v>0</x:v>
      </x:c>
      <x:c r="O16" s="93" t="n">
        <x:f>SUMIFS('Cell Lineage'!$Z$4:$Z$199,'Cell Lineage'!$A$4:$A$199,$A16,'Cell Lineage'!$D$4:$D$199,O$3)</x:f>
        <x:v>0.01694508009398265</x:v>
      </x:c>
    </x:row>
    <x:row r="17">
      <x:c r="A17" s="69" t="str">
        <x:v>ZA</x:v>
      </x:c>
      <x:c r="B17" s="94" t="n">
        <x:f>SUMIFS('Cell Lineage'!$Z$4:$Z$199,'Cell Lineage'!$A$4:$A$199,$A17,'Cell Lineage'!$D$4:$D$199,B$3)</x:f>
        <x:v>0.010376462900541589</x:v>
      </x:c>
      <x:c r="C17" s="95" t="n">
        <x:f>SUMIFS('Cell Lineage'!$Z$4:$Z$199,'Cell Lineage'!$A$4:$A$199,$A17,'Cell Lineage'!$D$4:$D$199,C$3)</x:f>
        <x:v>0.00455593036224503</x:v>
      </x:c>
      <x:c r="D17" s="95" t="n">
        <x:f>SUMIFS('Cell Lineage'!$Z$4:$Z$199,'Cell Lineage'!$A$4:$A$199,$A17,'Cell Lineage'!$D$4:$D$199,D$3)</x:f>
        <x:v>0.01636590355774563</x:v>
      </x:c>
      <x:c r="E17" s="95" t="n">
        <x:f>SUMIFS('Cell Lineage'!$Z$4:$Z$199,'Cell Lineage'!$A$4:$A$199,$A17,'Cell Lineage'!$D$4:$D$199,E$3)</x:f>
        <x:v>0.00836542905027062</x:v>
      </x:c>
      <x:c r="F17" s="95" t="n">
        <x:f>SUMIFS('Cell Lineage'!$Z$4:$Z$199,'Cell Lineage'!$A$4:$A$199,$A17,'Cell Lineage'!$D$4:$D$199,F$3)</x:f>
        <x:v>0.022321275599981854</x:v>
      </x:c>
      <x:c r="G17" s="95" t="n">
        <x:f>SUMIFS('Cell Lineage'!$Z$4:$Z$199,'Cell Lineage'!$A$4:$A$199,$A17,'Cell Lineage'!$D$4:$D$199,G$3)</x:f>
        <x:v>0.31406701343652116</x:v>
      </x:c>
      <x:c r="H17" s="95" t="n">
        <x:f>SUMIFS('Cell Lineage'!$Z$4:$Z$199,'Cell Lineage'!$A$4:$A$199,$A17,'Cell Lineage'!$D$4:$D$199,H$3)</x:f>
        <x:v>0.4061190124303671</x:v>
      </x:c>
      <x:c r="I17" s="95" t="n">
        <x:f>SUMIFS('Cell Lineage'!$Z$4:$Z$199,'Cell Lineage'!$A$4:$A$199,$A17,'Cell Lineage'!$D$4:$D$199,I$3)</x:f>
        <x:v>0.007335232389845363</x:v>
      </x:c>
      <x:c r="J17" s="95" t="n">
        <x:f>SUMIFS('Cell Lineage'!$Z$4:$Z$199,'Cell Lineage'!$A$4:$A$199,$A17,'Cell Lineage'!$D$4:$D$199,J$3)</x:f>
        <x:v>0.000262419054917255</x:v>
      </x:c>
      <x:c r="K17" s="95" t="n">
        <x:f>SUMIFS('Cell Lineage'!$Z$4:$Z$199,'Cell Lineage'!$A$4:$A$199,$A17,'Cell Lineage'!$D$4:$D$199,K$3)</x:f>
        <x:v>0.0011779031162063812</x:v>
      </x:c>
      <x:c r="L17" s="95" t="n">
        <x:f>SUMIFS('Cell Lineage'!$Z$4:$Z$199,'Cell Lineage'!$A$4:$A$199,$A17,'Cell Lineage'!$D$4:$D$199,L$3)</x:f>
        <x:v>0.012559794529609116</x:v>
      </x:c>
      <x:c r="M17" s="95" t="n">
        <x:f>SUMIFS('Cell Lineage'!$Z$4:$Z$199,'Cell Lineage'!$A$4:$A$199,$A17,'Cell Lineage'!$D$4:$D$199,M$3)</x:f>
        <x:v>0.00029614648146282014</x:v>
      </x:c>
      <x:c r="N17" s="95" t="n">
        <x:f>SUMIFS('Cell Lineage'!$Z$4:$Z$199,'Cell Lineage'!$A$4:$A$199,$A17,'Cell Lineage'!$D$4:$D$199,N$3)</x:f>
        <x:v>0.1961974770902862</x:v>
      </x:c>
      <x:c r="O17" s="102" t="n">
        <x:f>SUMIFS('Cell Lineage'!$Z$4:$Z$199,'Cell Lineage'!$A$4:$A$199,$A17,'Cell Lineage'!$D$4:$D$199,O$3)</x:f>
        <x:v>0</x:v>
      </x:c>
    </x:row>
    <x:row r="19">
      <x:c r="A19" s="8" t="str">
        <x:v>Source and transformation details are in Cell Lineage. Values are shares, not percentages; 0.500000 means 50%.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</x:row>
  </x:sheetData>
  <x:mergeCells>
    <x:mergeCell ref="A1:O1"/>
    <x:mergeCell ref="A2:O2"/>
    <x:mergeCell ref="A19:O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8" customHeight="1">
      <x:c r="A1" s="4" t="str">
        <x:v>W Bonds Restated — 14×14</x:v>
      </x:c>
      <x:c r="B1" s="4" t="str">
        <x:v>W Bonds Restated — 14×14</x:v>
      </x:c>
      <x:c r="C1" s="4" t="str">
        <x:v>W Bonds Restated — 14×14</x:v>
      </x:c>
      <x:c r="D1" s="4" t="str">
        <x:v>W Bonds Restated — 14×14</x:v>
      </x:c>
      <x:c r="E1" s="4" t="str">
        <x:v>W Bonds Restated — 14×14</x:v>
      </x:c>
      <x:c r="F1" s="4" t="str">
        <x:v>W Bonds Restated — 14×14</x:v>
      </x:c>
      <x:c r="G1" s="4" t="str">
        <x:v>W Bonds Restated — 14×14</x:v>
      </x:c>
      <x:c r="H1" s="4" t="str">
        <x:v>W Bonds Restated — 14×14</x:v>
      </x:c>
      <x:c r="I1" s="4" t="str">
        <x:v>W Bonds Restated — 14×14</x:v>
      </x:c>
      <x:c r="J1" s="4" t="str">
        <x:v>W Bonds Restated — 14×14</x:v>
      </x:c>
      <x:c r="K1" s="4" t="str">
        <x:v>W Bonds Restated — 14×14</x:v>
      </x:c>
      <x:c r="L1" s="4" t="str">
        <x:v>W Bonds Restated — 14×14</x:v>
      </x:c>
      <x:c r="M1" s="4" t="str">
        <x:v>W Bonds Restated — 14×14</x:v>
      </x:c>
      <x:c r="N1" s="4" t="str">
        <x:v>W Bonds Restated — 14×14</x:v>
      </x:c>
      <x:c r="O1" s="4" t="str">
        <x:v>W Bonds Restated — 14×14</x:v>
      </x:c>
    </x:row>
    <x:row r="2">
      <x:c r="A2" s="8" t="str">
        <x:v>Asset-channel matrix: nationality-restated bond positions. Rows are investors; columns are issuers/exposure destinations. Diagonal = 0; row sum = 1.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4" customHeight="1">
      <x:c r="A3" s="20" t="str">
        <x:v>Investor / Issuer</x:v>
      </x:c>
      <x:c r="B3" s="21" t="str">
        <x:v>AU</x:v>
      </x:c>
      <x:c r="C3" s="21" t="str">
        <x:v>BR</x:v>
      </x:c>
      <x:c r="D3" s="21" t="str">
        <x:v>CA</x:v>
      </x:c>
      <x:c r="E3" s="21" t="str">
        <x:v>CH</x:v>
      </x:c>
      <x:c r="F3" s="21" t="str">
        <x:v>CN</x:v>
      </x:c>
      <x:c r="G3" s="21" t="str">
        <x:v>EA</x:v>
      </x:c>
      <x:c r="H3" s="21" t="str">
        <x:v>UK</x:v>
      </x:c>
      <x:c r="I3" s="21" t="str">
        <x:v>JP</x:v>
      </x:c>
      <x:c r="J3" s="21" t="str">
        <x:v>KR</x:v>
      </x:c>
      <x:c r="K3" s="21" t="str">
        <x:v>NO</x:v>
      </x:c>
      <x:c r="L3" s="21" t="str">
        <x:v>SG</x:v>
      </x:c>
      <x:c r="M3" s="21" t="str">
        <x:v>TR</x:v>
      </x:c>
      <x:c r="N3" s="21" t="str">
        <x:v>US</x:v>
      </x:c>
      <x:c r="O3" s="22" t="str">
        <x:v>ZA</x:v>
      </x:c>
    </x:row>
    <x:row r="4">
      <x:c r="A4" s="69" t="str">
        <x:v>AU</x:v>
      </x:c>
      <x:c r="B4" s="98" t="n">
        <x:f>SUMIFS('Cell Lineage'!$AA$4:$AA$199,'Cell Lineage'!$A$4:$A$199,$A4,'Cell Lineage'!$D$4:$D$199,B$3)</x:f>
        <x:v>0</x:v>
      </x:c>
      <x:c r="C4" s="89" t="n">
        <x:f>SUMIFS('Cell Lineage'!$AA$4:$AA$199,'Cell Lineage'!$A$4:$A$199,$A4,'Cell Lineage'!$D$4:$D$199,C$3)</x:f>
        <x:v>0.004816100490949497</x:v>
      </x:c>
      <x:c r="D4" s="89" t="n">
        <x:f>SUMIFS('Cell Lineage'!$AA$4:$AA$199,'Cell Lineage'!$A$4:$A$199,$A4,'Cell Lineage'!$D$4:$D$199,D$3)</x:f>
        <x:v>0.059606344836834434</x:v>
      </x:c>
      <x:c r="E4" s="89" t="n">
        <x:f>SUMIFS('Cell Lineage'!$AA$4:$AA$199,'Cell Lineage'!$A$4:$A$199,$A4,'Cell Lineage'!$D$4:$D$199,E$3)</x:f>
        <x:v>0.013775222166524336</x:v>
      </x:c>
      <x:c r="F4" s="89" t="n">
        <x:f>SUMIFS('Cell Lineage'!$AA$4:$AA$199,'Cell Lineage'!$A$4:$A$199,$A4,'Cell Lineage'!$D$4:$D$199,F$3)</x:f>
        <x:v>0.031347962029058485</x:v>
      </x:c>
      <x:c r="G4" s="89" t="n">
        <x:f>SUMIFS('Cell Lineage'!$AA$4:$AA$199,'Cell Lineage'!$A$4:$A$199,$A4,'Cell Lineage'!$D$4:$D$199,G$3)</x:f>
        <x:v>0.2522436795189564</x:v>
      </x:c>
      <x:c r="H4" s="89" t="n">
        <x:f>SUMIFS('Cell Lineage'!$AA$4:$AA$199,'Cell Lineage'!$A$4:$A$199,$A4,'Cell Lineage'!$D$4:$D$199,H$3)</x:f>
        <x:v>0.07701861145121564</x:v>
      </x:c>
      <x:c r="I4" s="89" t="n">
        <x:f>SUMIFS('Cell Lineage'!$AA$4:$AA$199,'Cell Lineage'!$A$4:$A$199,$A4,'Cell Lineage'!$D$4:$D$199,I$3)</x:f>
        <x:v>0.0794581038171155</x:v>
      </x:c>
      <x:c r="J4" s="89" t="n">
        <x:f>SUMIFS('Cell Lineage'!$AA$4:$AA$199,'Cell Lineage'!$A$4:$A$199,$A4,'Cell Lineage'!$D$4:$D$199,J$3)</x:f>
        <x:v>0.01820978795257853</x:v>
      </x:c>
      <x:c r="K4" s="89" t="n">
        <x:f>SUMIFS('Cell Lineage'!$AA$4:$AA$199,'Cell Lineage'!$A$4:$A$199,$A4,'Cell Lineage'!$D$4:$D$199,K$3)</x:f>
        <x:v>0.022037298511255955</x:v>
      </x:c>
      <x:c r="L4" s="89" t="n">
        <x:f>SUMIFS('Cell Lineage'!$AA$4:$AA$199,'Cell Lineage'!$A$4:$A$199,$A4,'Cell Lineage'!$D$4:$D$199,L$3)</x:f>
        <x:v>0.02524540976819645</x:v>
      </x:c>
      <x:c r="M4" s="89" t="n">
        <x:f>SUMIFS('Cell Lineage'!$AA$4:$AA$199,'Cell Lineage'!$A$4:$A$199,$A4,'Cell Lineage'!$D$4:$D$199,M$3)</x:f>
        <x:v>0.0003507701559954769</x:v>
      </x:c>
      <x:c r="N4" s="89" t="n">
        <x:f>SUMIFS('Cell Lineage'!$AA$4:$AA$199,'Cell Lineage'!$A$4:$A$199,$A4,'Cell Lineage'!$D$4:$D$199,N$3)</x:f>
        <x:v>0.4143078598304409</x:v>
      </x:c>
      <x:c r="O4" s="90" t="n">
        <x:f>SUMIFS('Cell Lineage'!$AA$4:$AA$199,'Cell Lineage'!$A$4:$A$199,$A4,'Cell Lineage'!$D$4:$D$199,O$3)</x:f>
        <x:v>0.0015828494708784251</x:v>
      </x:c>
    </x:row>
    <x:row r="5">
      <x:c r="A5" s="69" t="str">
        <x:v>BR</x:v>
      </x:c>
      <x:c r="B5" s="91" t="n">
        <x:f>SUMIFS('Cell Lineage'!$AA$4:$AA$199,'Cell Lineage'!$A$4:$A$199,$A5,'Cell Lineage'!$D$4:$D$199,B$3)</x:f>
        <x:v>0.0011089559132544293</x:v>
      </x:c>
      <x:c r="C5" s="100" t="n">
        <x:f>SUMIFS('Cell Lineage'!$AA$4:$AA$199,'Cell Lineage'!$A$4:$A$199,$A5,'Cell Lineage'!$D$4:$D$199,C$3)</x:f>
        <x:v>0</x:v>
      </x:c>
      <x:c r="D5" s="92" t="n">
        <x:f>SUMIFS('Cell Lineage'!$AA$4:$AA$199,'Cell Lineage'!$A$4:$A$199,$A5,'Cell Lineage'!$D$4:$D$199,D$3)</x:f>
        <x:v>0.005574099624359506</x:v>
      </x:c>
      <x:c r="E5" s="92" t="n">
        <x:f>SUMIFS('Cell Lineage'!$AA$4:$AA$199,'Cell Lineage'!$A$4:$A$199,$A5,'Cell Lineage'!$D$4:$D$199,E$3)</x:f>
        <x:v>0.05917522118786777</x:v>
      </x:c>
      <x:c r="F5" s="92" t="n">
        <x:f>SUMIFS('Cell Lineage'!$AA$4:$AA$199,'Cell Lineage'!$A$4:$A$199,$A5,'Cell Lineage'!$D$4:$D$199,F$3)</x:f>
        <x:v>0.007898933573593163</x:v>
      </x:c>
      <x:c r="G5" s="92" t="n">
        <x:f>SUMIFS('Cell Lineage'!$AA$4:$AA$199,'Cell Lineage'!$A$4:$A$199,$A5,'Cell Lineage'!$D$4:$D$199,G$3)</x:f>
        <x:v>0.3823467465678075</x:v>
      </x:c>
      <x:c r="H5" s="92" t="n">
        <x:f>SUMIFS('Cell Lineage'!$AA$4:$AA$199,'Cell Lineage'!$A$4:$A$199,$A5,'Cell Lineage'!$D$4:$D$199,H$3)</x:f>
        <x:v>0.029423876363111688</x:v>
      </x:c>
      <x:c r="I5" s="92" t="n">
        <x:f>SUMIFS('Cell Lineage'!$AA$4:$AA$199,'Cell Lineage'!$A$4:$A$199,$A5,'Cell Lineage'!$D$4:$D$199,I$3)</x:f>
        <x:v>0.00501778761858575</x:v>
      </x:c>
      <x:c r="J5" s="92" t="n">
        <x:f>SUMIFS('Cell Lineage'!$AA$4:$AA$199,'Cell Lineage'!$A$4:$A$199,$A5,'Cell Lineage'!$D$4:$D$199,J$3)</x:f>
        <x:v>0.062498338189538115</x:v>
      </x:c>
      <x:c r="K5" s="92" t="n">
        <x:f>SUMIFS('Cell Lineage'!$AA$4:$AA$199,'Cell Lineage'!$A$4:$A$199,$A5,'Cell Lineage'!$D$4:$D$199,K$3)</x:f>
        <x:v>0.00027482120203715607</x:v>
      </x:c>
      <x:c r="L5" s="92" t="n">
        <x:f>SUMIFS('Cell Lineage'!$AA$4:$AA$199,'Cell Lineage'!$A$4:$A$199,$A5,'Cell Lineage'!$D$4:$D$199,L$3)</x:f>
        <x:v>0.0009269653204757928</x:v>
      </x:c>
      <x:c r="M5" s="92" t="n">
        <x:f>SUMIFS('Cell Lineage'!$AA$4:$AA$199,'Cell Lineage'!$A$4:$A$199,$A5,'Cell Lineage'!$D$4:$D$199,M$3)</x:f>
        <x:v>0.00013077703650708942</x:v>
      </x:c>
      <x:c r="N5" s="92" t="n">
        <x:f>SUMIFS('Cell Lineage'!$AA$4:$AA$199,'Cell Lineage'!$A$4:$A$199,$A5,'Cell Lineage'!$D$4:$D$199,N$3)</x:f>
        <x:v>0.4450458583985031</x:v>
      </x:c>
      <x:c r="O5" s="93" t="n">
        <x:f>SUMIFS('Cell Lineage'!$AA$4:$AA$199,'Cell Lineage'!$A$4:$A$199,$A5,'Cell Lineage'!$D$4:$D$199,O$3)</x:f>
        <x:v>0.0005776190043589616</x:v>
      </x:c>
    </x:row>
    <x:row r="6">
      <x:c r="A6" s="69" t="str">
        <x:v>CA</x:v>
      </x:c>
      <x:c r="B6" s="91" t="n">
        <x:f>SUMIFS('Cell Lineage'!$AA$4:$AA$199,'Cell Lineage'!$A$4:$A$199,$A6,'Cell Lineage'!$D$4:$D$199,B$3)</x:f>
        <x:v>0.024912495962449793</x:v>
      </x:c>
      <x:c r="C6" s="92" t="n">
        <x:f>SUMIFS('Cell Lineage'!$AA$4:$AA$199,'Cell Lineage'!$A$4:$A$199,$A6,'Cell Lineage'!$D$4:$D$199,C$3)</x:f>
        <x:v>0.014311546094631294</x:v>
      </x:c>
      <x:c r="D6" s="100" t="n">
        <x:f>SUMIFS('Cell Lineage'!$AA$4:$AA$199,'Cell Lineage'!$A$4:$A$199,$A6,'Cell Lineage'!$D$4:$D$199,D$3)</x:f>
        <x:v>0</x:v>
      </x:c>
      <x:c r="E6" s="92" t="n">
        <x:f>SUMIFS('Cell Lineage'!$AA$4:$AA$199,'Cell Lineage'!$A$4:$A$199,$A6,'Cell Lineage'!$D$4:$D$199,E$3)</x:f>
        <x:v>0.013856120588705856</x:v>
      </x:c>
      <x:c r="F6" s="92" t="n">
        <x:f>SUMIFS('Cell Lineage'!$AA$4:$AA$199,'Cell Lineage'!$A$4:$A$199,$A6,'Cell Lineage'!$D$4:$D$199,F$3)</x:f>
        <x:v>0.00813846808509985</x:v>
      </x:c>
      <x:c r="G6" s="92" t="n">
        <x:f>SUMIFS('Cell Lineage'!$AA$4:$AA$199,'Cell Lineage'!$A$4:$A$199,$A6,'Cell Lineage'!$D$4:$D$199,G$3)</x:f>
        <x:v>0.11394531751418412</x:v>
      </x:c>
      <x:c r="H6" s="92" t="n">
        <x:f>SUMIFS('Cell Lineage'!$AA$4:$AA$199,'Cell Lineage'!$A$4:$A$199,$A6,'Cell Lineage'!$D$4:$D$199,H$3)</x:f>
        <x:v>0.05415264301398904</x:v>
      </x:c>
      <x:c r="I6" s="92" t="n">
        <x:f>SUMIFS('Cell Lineage'!$AA$4:$AA$199,'Cell Lineage'!$A$4:$A$199,$A6,'Cell Lineage'!$D$4:$D$199,I$3)</x:f>
        <x:v>0.03509530520771089</x:v>
      </x:c>
      <x:c r="J6" s="92" t="n">
        <x:f>SUMIFS('Cell Lineage'!$AA$4:$AA$199,'Cell Lineage'!$A$4:$A$199,$A6,'Cell Lineage'!$D$4:$D$199,J$3)</x:f>
        <x:v>0.00262220995448096</x:v>
      </x:c>
      <x:c r="K6" s="92" t="n">
        <x:f>SUMIFS('Cell Lineage'!$AA$4:$AA$199,'Cell Lineage'!$A$4:$A$199,$A6,'Cell Lineage'!$D$4:$D$199,K$3)</x:f>
        <x:v>0.007020963543794345</x:v>
      </x:c>
      <x:c r="L6" s="92" t="n">
        <x:f>SUMIFS('Cell Lineage'!$AA$4:$AA$199,'Cell Lineage'!$A$4:$A$199,$A6,'Cell Lineage'!$D$4:$D$199,L$3)</x:f>
        <x:v>0.0017166450541220616</x:v>
      </x:c>
      <x:c r="M6" s="92" t="n">
        <x:f>SUMIFS('Cell Lineage'!$AA$4:$AA$199,'Cell Lineage'!$A$4:$A$199,$A6,'Cell Lineage'!$D$4:$D$199,M$3)</x:f>
        <x:v>0.0036371750024693683</x:v>
      </x:c>
      <x:c r="N6" s="92" t="n">
        <x:f>SUMIFS('Cell Lineage'!$AA$4:$AA$199,'Cell Lineage'!$A$4:$A$199,$A6,'Cell Lineage'!$D$4:$D$199,N$3)</x:f>
        <x:v>0.7165352922567989</x:v>
      </x:c>
      <x:c r="O6" s="93" t="n">
        <x:f>SUMIFS('Cell Lineage'!$AA$4:$AA$199,'Cell Lineage'!$A$4:$A$199,$A6,'Cell Lineage'!$D$4:$D$199,O$3)</x:f>
        <x:v>0.004055817721563481</x:v>
      </x:c>
    </x:row>
    <x:row r="7">
      <x:c r="A7" s="69" t="str">
        <x:v>CH</x:v>
      </x:c>
      <x:c r="B7" s="91" t="n">
        <x:f>SUMIFS('Cell Lineage'!$AA$4:$AA$199,'Cell Lineage'!$A$4:$A$199,$A7,'Cell Lineage'!$D$4:$D$199,B$3)</x:f>
        <x:v>0.05170566939279105</x:v>
      </x:c>
      <x:c r="C7" s="92" t="n">
        <x:f>SUMIFS('Cell Lineage'!$AA$4:$AA$199,'Cell Lineage'!$A$4:$A$199,$A7,'Cell Lineage'!$D$4:$D$199,C$3)</x:f>
        <x:v>0.004830862293458085</x:v>
      </x:c>
      <x:c r="D7" s="92" t="n">
        <x:f>SUMIFS('Cell Lineage'!$AA$4:$AA$199,'Cell Lineage'!$A$4:$A$199,$A7,'Cell Lineage'!$D$4:$D$199,D$3)</x:f>
        <x:v>0.056237647749417946</x:v>
      </x:c>
      <x:c r="E7" s="100" t="n">
        <x:f>SUMIFS('Cell Lineage'!$AA$4:$AA$199,'Cell Lineage'!$A$4:$A$199,$A7,'Cell Lineage'!$D$4:$D$199,E$3)</x:f>
        <x:v>0</x:v>
      </x:c>
      <x:c r="F7" s="92" t="n">
        <x:f>SUMIFS('Cell Lineage'!$AA$4:$AA$199,'Cell Lineage'!$A$4:$A$199,$A7,'Cell Lineage'!$D$4:$D$199,F$3)</x:f>
        <x:v>0.014133218562552787</x:v>
      </x:c>
      <x:c r="G7" s="92" t="n">
        <x:f>SUMIFS('Cell Lineage'!$AA$4:$AA$199,'Cell Lineage'!$A$4:$A$199,$A7,'Cell Lineage'!$D$4:$D$199,G$3)</x:f>
        <x:v>0.3992357781116285</x:v>
      </x:c>
      <x:c r="H7" s="92" t="n">
        <x:f>SUMIFS('Cell Lineage'!$AA$4:$AA$199,'Cell Lineage'!$A$4:$A$199,$A7,'Cell Lineage'!$D$4:$D$199,H$3)</x:f>
        <x:v>0.08114894450985703</x:v>
      </x:c>
      <x:c r="I7" s="92" t="n">
        <x:f>SUMIFS('Cell Lineage'!$AA$4:$AA$199,'Cell Lineage'!$A$4:$A$199,$A7,'Cell Lineage'!$D$4:$D$199,I$3)</x:f>
        <x:v>0.02448417425339312</x:v>
      </x:c>
      <x:c r="J7" s="92" t="n">
        <x:f>SUMIFS('Cell Lineage'!$AA$4:$AA$199,'Cell Lineage'!$A$4:$A$199,$A7,'Cell Lineage'!$D$4:$D$199,J$3)</x:f>
        <x:v>0.010909043203745077</x:v>
      </x:c>
      <x:c r="K7" s="92" t="n">
        <x:f>SUMIFS('Cell Lineage'!$AA$4:$AA$199,'Cell Lineage'!$A$4:$A$199,$A7,'Cell Lineage'!$D$4:$D$199,K$3)</x:f>
        <x:v>0.014077143589915575</x:v>
      </x:c>
      <x:c r="L7" s="92" t="n">
        <x:f>SUMIFS('Cell Lineage'!$AA$4:$AA$199,'Cell Lineage'!$A$4:$A$199,$A7,'Cell Lineage'!$D$4:$D$199,L$3)</x:f>
        <x:v>0.0034694309358603292</x:v>
      </x:c>
      <x:c r="M7" s="92" t="n">
        <x:f>SUMIFS('Cell Lineage'!$AA$4:$AA$199,'Cell Lineage'!$A$4:$A$199,$A7,'Cell Lineage'!$D$4:$D$199,M$3)</x:f>
        <x:v>0.0027675343942319915</x:v>
      </x:c>
      <x:c r="N7" s="92" t="n">
        <x:f>SUMIFS('Cell Lineage'!$AA$4:$AA$199,'Cell Lineage'!$A$4:$A$199,$A7,'Cell Lineage'!$D$4:$D$199,N$3)</x:f>
        <x:v>0.3344226877252357</x:v>
      </x:c>
      <x:c r="O7" s="93" t="n">
        <x:f>SUMIFS('Cell Lineage'!$AA$4:$AA$199,'Cell Lineage'!$A$4:$A$199,$A7,'Cell Lineage'!$D$4:$D$199,O$3)</x:f>
        <x:v>0.0025778652779127383</x:v>
      </x:c>
    </x:row>
    <x:row r="8">
      <x:c r="A8" s="69" t="str">
        <x:v>CN</x:v>
      </x:c>
      <x:c r="B8" s="91" t="n">
        <x:f>SUMIFS('Cell Lineage'!$AA$4:$AA$199,'Cell Lineage'!$A$4:$A$199,$A8,'Cell Lineage'!$D$4:$D$199,B$3)</x:f>
        <x:v>0.042439655597428516</x:v>
      </x:c>
      <x:c r="C8" s="92" t="n">
        <x:f>SUMIFS('Cell Lineage'!$AA$4:$AA$199,'Cell Lineage'!$A$4:$A$199,$A8,'Cell Lineage'!$D$4:$D$199,C$3)</x:f>
        <x:v>0.01611954927808114</x:v>
      </x:c>
      <x:c r="D8" s="92" t="n">
        <x:f>SUMIFS('Cell Lineage'!$AA$4:$AA$199,'Cell Lineage'!$A$4:$A$199,$A8,'Cell Lineage'!$D$4:$D$199,D$3)</x:f>
        <x:v>0.027596146192571974</x:v>
      </x:c>
      <x:c r="E8" s="92" t="n">
        <x:f>SUMIFS('Cell Lineage'!$AA$4:$AA$199,'Cell Lineage'!$A$4:$A$199,$A8,'Cell Lineage'!$D$4:$D$199,E$3)</x:f>
        <x:v>0.021379517665811566</x:v>
      </x:c>
      <x:c r="F8" s="100" t="n">
        <x:f>SUMIFS('Cell Lineage'!$AA$4:$AA$199,'Cell Lineage'!$A$4:$A$199,$A8,'Cell Lineage'!$D$4:$D$199,F$3)</x:f>
        <x:v>0</x:v>
      </x:c>
      <x:c r="G8" s="92" t="n">
        <x:f>SUMIFS('Cell Lineage'!$AA$4:$AA$199,'Cell Lineage'!$A$4:$A$199,$A8,'Cell Lineage'!$D$4:$D$199,G$3)</x:f>
        <x:v>0.10332039957856996</x:v>
      </x:c>
      <x:c r="H8" s="92" t="n">
        <x:f>SUMIFS('Cell Lineage'!$AA$4:$AA$199,'Cell Lineage'!$A$4:$A$199,$A8,'Cell Lineage'!$D$4:$D$199,H$3)</x:f>
        <x:v>0.08173943128095297</x:v>
      </x:c>
      <x:c r="I8" s="92" t="n">
        <x:f>SUMIFS('Cell Lineage'!$AA$4:$AA$199,'Cell Lineage'!$A$4:$A$199,$A8,'Cell Lineage'!$D$4:$D$199,I$3)</x:f>
        <x:v>0.03960686273882842</x:v>
      </x:c>
      <x:c r="J8" s="92" t="n">
        <x:f>SUMIFS('Cell Lineage'!$AA$4:$AA$199,'Cell Lineage'!$A$4:$A$199,$A8,'Cell Lineage'!$D$4:$D$199,J$3)</x:f>
        <x:v>0.025632576547570375</x:v>
      </x:c>
      <x:c r="K8" s="92" t="n">
        <x:f>SUMIFS('Cell Lineage'!$AA$4:$AA$199,'Cell Lineage'!$A$4:$A$199,$A8,'Cell Lineage'!$D$4:$D$199,K$3)</x:f>
        <x:v>0.0008083500131413017</x:v>
      </x:c>
      <x:c r="L8" s="92" t="n">
        <x:f>SUMIFS('Cell Lineage'!$AA$4:$AA$199,'Cell Lineage'!$A$4:$A$199,$A8,'Cell Lineage'!$D$4:$D$199,L$3)</x:f>
        <x:v>0.0469666393229056</x:v>
      </x:c>
      <x:c r="M8" s="92" t="n">
        <x:f>SUMIFS('Cell Lineage'!$AA$4:$AA$199,'Cell Lineage'!$A$4:$A$199,$A8,'Cell Lineage'!$D$4:$D$199,M$3)</x:f>
        <x:v>0.0021397754019319938</x:v>
      </x:c>
      <x:c r="N8" s="92" t="n">
        <x:f>SUMIFS('Cell Lineage'!$AA$4:$AA$199,'Cell Lineage'!$A$4:$A$199,$A8,'Cell Lineage'!$D$4:$D$199,N$3)</x:f>
        <x:v>0.589374331641412</x:v>
      </x:c>
      <x:c r="O8" s="93" t="n">
        <x:f>SUMIFS('Cell Lineage'!$AA$4:$AA$199,'Cell Lineage'!$A$4:$A$199,$A8,'Cell Lineage'!$D$4:$D$199,O$3)</x:f>
        <x:v>0.0028767647407942003</x:v>
      </x:c>
    </x:row>
    <x:row r="9">
      <x:c r="A9" s="69" t="str">
        <x:v>EA</x:v>
      </x:c>
      <x:c r="B9" s="91" t="n">
        <x:f>SUMIFS('Cell Lineage'!$AA$4:$AA$199,'Cell Lineage'!$A$4:$A$199,$A9,'Cell Lineage'!$D$4:$D$199,B$3)</x:f>
        <x:v>0.04459556340458308</x:v>
      </x:c>
      <x:c r="C9" s="92" t="n">
        <x:f>SUMIFS('Cell Lineage'!$AA$4:$AA$199,'Cell Lineage'!$A$4:$A$199,$A9,'Cell Lineage'!$D$4:$D$199,C$3)</x:f>
        <x:v>0.015080649635854752</x:v>
      </x:c>
      <x:c r="D9" s="92" t="n">
        <x:f>SUMIFS('Cell Lineage'!$AA$4:$AA$199,'Cell Lineage'!$A$4:$A$199,$A9,'Cell Lineage'!$D$4:$D$199,D$3)</x:f>
        <x:v>0.047503528093499565</x:v>
      </x:c>
      <x:c r="E9" s="92" t="n">
        <x:f>SUMIFS('Cell Lineage'!$AA$4:$AA$199,'Cell Lineage'!$A$4:$A$199,$A9,'Cell Lineage'!$D$4:$D$199,E$3)</x:f>
        <x:v>0.031678423179656474</x:v>
      </x:c>
      <x:c r="F9" s="92" t="n">
        <x:f>SUMIFS('Cell Lineage'!$AA$4:$AA$199,'Cell Lineage'!$A$4:$A$199,$A9,'Cell Lineage'!$D$4:$D$199,F$3)</x:f>
        <x:v>0.02411260199991197</x:v>
      </x:c>
      <x:c r="G9" s="100" t="n">
        <x:f>SUMIFS('Cell Lineage'!$AA$4:$AA$199,'Cell Lineage'!$A$4:$A$199,$A9,'Cell Lineage'!$D$4:$D$199,G$3)</x:f>
        <x:v>0</x:v>
      </x:c>
      <x:c r="H9" s="92" t="n">
        <x:f>SUMIFS('Cell Lineage'!$AA$4:$AA$199,'Cell Lineage'!$A$4:$A$199,$A9,'Cell Lineage'!$D$4:$D$199,H$3)</x:f>
        <x:v>0.26389460780161933</x:v>
      </x:c>
      <x:c r="I9" s="92" t="n">
        <x:f>SUMIFS('Cell Lineage'!$AA$4:$AA$199,'Cell Lineage'!$A$4:$A$199,$A9,'Cell Lineage'!$D$4:$D$199,I$3)</x:f>
        <x:v>0.057880182893595034</x:v>
      </x:c>
      <x:c r="J9" s="92" t="n">
        <x:f>SUMIFS('Cell Lineage'!$AA$4:$AA$199,'Cell Lineage'!$A$4:$A$199,$A9,'Cell Lineage'!$D$4:$D$199,J$3)</x:f>
        <x:v>0.006443117103276735</x:v>
      </x:c>
      <x:c r="K9" s="92" t="n">
        <x:f>SUMIFS('Cell Lineage'!$AA$4:$AA$199,'Cell Lineage'!$A$4:$A$199,$A9,'Cell Lineage'!$D$4:$D$199,K$3)</x:f>
        <x:v>0.024889702261700383</x:v>
      </x:c>
      <x:c r="L9" s="92" t="n">
        <x:f>SUMIFS('Cell Lineage'!$AA$4:$AA$199,'Cell Lineage'!$A$4:$A$199,$A9,'Cell Lineage'!$D$4:$D$199,L$3)</x:f>
        <x:v>0.005086669096229865</x:v>
      </x:c>
      <x:c r="M9" s="92" t="n">
        <x:f>SUMIFS('Cell Lineage'!$AA$4:$AA$199,'Cell Lineage'!$A$4:$A$199,$A9,'Cell Lineage'!$D$4:$D$199,M$3)</x:f>
        <x:v>0.00917298511411057</x:v>
      </x:c>
      <x:c r="N9" s="92" t="n">
        <x:f>SUMIFS('Cell Lineage'!$AA$4:$AA$199,'Cell Lineage'!$A$4:$A$199,$A9,'Cell Lineage'!$D$4:$D$199,N$3)</x:f>
        <x:v>0.46167574953808027</x:v>
      </x:c>
      <x:c r="O9" s="93" t="n">
        <x:f>SUMIFS('Cell Lineage'!$AA$4:$AA$199,'Cell Lineage'!$A$4:$A$199,$A9,'Cell Lineage'!$D$4:$D$199,O$3)</x:f>
        <x:v>0.007986219877882004</x:v>
      </x:c>
    </x:row>
    <x:row r="10">
      <x:c r="A10" s="69" t="str">
        <x:v>UK</x:v>
      </x:c>
      <x:c r="B10" s="91" t="n">
        <x:f>SUMIFS('Cell Lineage'!$AA$4:$AA$199,'Cell Lineage'!$A$4:$A$199,$A10,'Cell Lineage'!$D$4:$D$199,B$3)</x:f>
        <x:v>0.03373118540806582</x:v>
      </x:c>
      <x:c r="C10" s="92" t="n">
        <x:f>SUMIFS('Cell Lineage'!$AA$4:$AA$199,'Cell Lineage'!$A$4:$A$199,$A10,'Cell Lineage'!$D$4:$D$199,C$3)</x:f>
        <x:v>0.016852092227527718</x:v>
      </x:c>
      <x:c r="D10" s="92" t="n">
        <x:f>SUMIFS('Cell Lineage'!$AA$4:$AA$199,'Cell Lineage'!$A$4:$A$199,$A10,'Cell Lineage'!$D$4:$D$199,D$3)</x:f>
        <x:v>0.028960032389760818</x:v>
      </x:c>
      <x:c r="E10" s="92" t="n">
        <x:f>SUMIFS('Cell Lineage'!$AA$4:$AA$199,'Cell Lineage'!$A$4:$A$199,$A10,'Cell Lineage'!$D$4:$D$199,E$3)</x:f>
        <x:v>0.026220771363292792</x:v>
      </x:c>
      <x:c r="F10" s="92" t="n">
        <x:f>SUMIFS('Cell Lineage'!$AA$4:$AA$199,'Cell Lineage'!$A$4:$A$199,$A10,'Cell Lineage'!$D$4:$D$199,F$3)</x:f>
        <x:v>0.01551473397144115</x:v>
      </x:c>
      <x:c r="G10" s="92" t="n">
        <x:f>SUMIFS('Cell Lineage'!$AA$4:$AA$199,'Cell Lineage'!$A$4:$A$199,$A10,'Cell Lineage'!$D$4:$D$199,G$3)</x:f>
        <x:v>0.35879459371355177</x:v>
      </x:c>
      <x:c r="H10" s="100" t="n">
        <x:f>SUMIFS('Cell Lineage'!$AA$4:$AA$199,'Cell Lineage'!$A$4:$A$199,$A10,'Cell Lineage'!$D$4:$D$199,H$3)</x:f>
        <x:v>0</x:v>
      </x:c>
      <x:c r="I10" s="92" t="n">
        <x:f>SUMIFS('Cell Lineage'!$AA$4:$AA$199,'Cell Lineage'!$A$4:$A$199,$A10,'Cell Lineage'!$D$4:$D$199,I$3)</x:f>
        <x:v>0.052404527024848886</x:v>
      </x:c>
      <x:c r="J10" s="92" t="n">
        <x:f>SUMIFS('Cell Lineage'!$AA$4:$AA$199,'Cell Lineage'!$A$4:$A$199,$A10,'Cell Lineage'!$D$4:$D$199,J$3)</x:f>
        <x:v>0.006180204213764306</x:v>
      </x:c>
      <x:c r="K10" s="92" t="n">
        <x:f>SUMIFS('Cell Lineage'!$AA$4:$AA$199,'Cell Lineage'!$A$4:$A$199,$A10,'Cell Lineage'!$D$4:$D$199,K$3)</x:f>
        <x:v>0.010497942873217474</x:v>
      </x:c>
      <x:c r="L10" s="92" t="n">
        <x:f>SUMIFS('Cell Lineage'!$AA$4:$AA$199,'Cell Lineage'!$A$4:$A$199,$A10,'Cell Lineage'!$D$4:$D$199,L$3)</x:f>
        <x:v>0.0066123378809343995</x:v>
      </x:c>
      <x:c r="M10" s="92" t="n">
        <x:f>SUMIFS('Cell Lineage'!$AA$4:$AA$199,'Cell Lineage'!$A$4:$A$199,$A10,'Cell Lineage'!$D$4:$D$199,M$3)</x:f>
        <x:v>0.004681850431307665</x:v>
      </x:c>
      <x:c r="N10" s="92" t="n">
        <x:f>SUMIFS('Cell Lineage'!$AA$4:$AA$199,'Cell Lineage'!$A$4:$A$199,$A10,'Cell Lineage'!$D$4:$D$199,N$3)</x:f>
        <x:v>0.43281074300315686</x:v>
      </x:c>
      <x:c r="O10" s="93" t="n">
        <x:f>SUMIFS('Cell Lineage'!$AA$4:$AA$199,'Cell Lineage'!$A$4:$A$199,$A10,'Cell Lineage'!$D$4:$D$199,O$3)</x:f>
        <x:v>0.006738985499130491</x:v>
      </x:c>
    </x:row>
    <x:row r="11">
      <x:c r="A11" s="69" t="str">
        <x:v>JP</x:v>
      </x:c>
      <x:c r="B11" s="91" t="n">
        <x:f>SUMIFS('Cell Lineage'!$AA$4:$AA$199,'Cell Lineage'!$A$4:$A$199,$A11,'Cell Lineage'!$D$4:$D$199,B$3)</x:f>
        <x:v>0.05211572463131405</x:v>
      </x:c>
      <x:c r="C11" s="92" t="n">
        <x:f>SUMIFS('Cell Lineage'!$AA$4:$AA$199,'Cell Lineage'!$A$4:$A$199,$A11,'Cell Lineage'!$D$4:$D$199,C$3)</x:f>
        <x:v>0.008933132006543136</x:v>
      </x:c>
      <x:c r="D11" s="92" t="n">
        <x:f>SUMIFS('Cell Lineage'!$AA$4:$AA$199,'Cell Lineage'!$A$4:$A$199,$A11,'Cell Lineage'!$D$4:$D$199,D$3)</x:f>
        <x:v>0.025206355644202132</x:v>
      </x:c>
      <x:c r="E11" s="92" t="n">
        <x:f>SUMIFS('Cell Lineage'!$AA$4:$AA$199,'Cell Lineage'!$A$4:$A$199,$A11,'Cell Lineage'!$D$4:$D$199,E$3)</x:f>
        <x:v>0.013657073744089384</x:v>
      </x:c>
      <x:c r="F11" s="92" t="n">
        <x:f>SUMIFS('Cell Lineage'!$AA$4:$AA$199,'Cell Lineage'!$A$4:$A$199,$A11,'Cell Lineage'!$D$4:$D$199,F$3)</x:f>
        <x:v>0.017242540399018746</x:v>
      </x:c>
      <x:c r="G11" s="92" t="n">
        <x:f>SUMIFS('Cell Lineage'!$AA$4:$AA$199,'Cell Lineage'!$A$4:$A$199,$A11,'Cell Lineage'!$D$4:$D$199,G$3)</x:f>
        <x:v>0.2792014795328703</x:v>
      </x:c>
      <x:c r="H11" s="92" t="n">
        <x:f>SUMIFS('Cell Lineage'!$AA$4:$AA$199,'Cell Lineage'!$A$4:$A$199,$A11,'Cell Lineage'!$D$4:$D$199,H$3)</x:f>
        <x:v>0.06216893419609889</x:v>
      </x:c>
      <x:c r="I11" s="100" t="n">
        <x:f>SUMIFS('Cell Lineage'!$AA$4:$AA$199,'Cell Lineage'!$A$4:$A$199,$A11,'Cell Lineage'!$D$4:$D$199,I$3)</x:f>
        <x:v>0</x:v>
      </x:c>
      <x:c r="J11" s="92" t="n">
        <x:f>SUMIFS('Cell Lineage'!$AA$4:$AA$199,'Cell Lineage'!$A$4:$A$199,$A11,'Cell Lineage'!$D$4:$D$199,J$3)</x:f>
        <x:v>0.00676988732042028</x:v>
      </x:c>
      <x:c r="K11" s="92" t="n">
        <x:f>SUMIFS('Cell Lineage'!$AA$4:$AA$199,'Cell Lineage'!$A$4:$A$199,$A11,'Cell Lineage'!$D$4:$D$199,K$3)</x:f>
        <x:v>0.007541272291031639</x:v>
      </x:c>
      <x:c r="L11" s="92" t="n">
        <x:f>SUMIFS('Cell Lineage'!$AA$4:$AA$199,'Cell Lineage'!$A$4:$A$199,$A11,'Cell Lineage'!$D$4:$D$199,L$3)</x:f>
        <x:v>0.004813575816511377</x:v>
      </x:c>
      <x:c r="M11" s="92" t="n">
        <x:f>SUMIFS('Cell Lineage'!$AA$4:$AA$199,'Cell Lineage'!$A$4:$A$199,$A11,'Cell Lineage'!$D$4:$D$199,M$3)</x:f>
        <x:v>0.0021588350927261167</x:v>
      </x:c>
      <x:c r="N11" s="92" t="n">
        <x:f>SUMIFS('Cell Lineage'!$AA$4:$AA$199,'Cell Lineage'!$A$4:$A$199,$A11,'Cell Lineage'!$D$4:$D$199,N$3)</x:f>
        <x:v>0.5183065345387722</x:v>
      </x:c>
      <x:c r="O11" s="93" t="n">
        <x:f>SUMIFS('Cell Lineage'!$AA$4:$AA$199,'Cell Lineage'!$A$4:$A$199,$A11,'Cell Lineage'!$D$4:$D$199,O$3)</x:f>
        <x:v>0.0018846547864017885</x:v>
      </x:c>
    </x:row>
    <x:row r="12">
      <x:c r="A12" s="69" t="str">
        <x:v>KR</x:v>
      </x:c>
      <x:c r="B12" s="91" t="n">
        <x:f>SUMIFS('Cell Lineage'!$AA$4:$AA$199,'Cell Lineage'!$A$4:$A$199,$A12,'Cell Lineage'!$D$4:$D$199,B$3)</x:f>
        <x:v>0.04206977076150873</x:v>
      </x:c>
      <x:c r="C12" s="92" t="n">
        <x:f>SUMIFS('Cell Lineage'!$AA$4:$AA$199,'Cell Lineage'!$A$4:$A$199,$A12,'Cell Lineage'!$D$4:$D$199,C$3)</x:f>
        <x:v>0.0608054251075015</x:v>
      </x:c>
      <x:c r="D12" s="92" t="n">
        <x:f>SUMIFS('Cell Lineage'!$AA$4:$AA$199,'Cell Lineage'!$A$4:$A$199,$A12,'Cell Lineage'!$D$4:$D$199,D$3)</x:f>
        <x:v>0.028264836603289517</x:v>
      </x:c>
      <x:c r="E12" s="92" t="n">
        <x:f>SUMIFS('Cell Lineage'!$AA$4:$AA$199,'Cell Lineage'!$A$4:$A$199,$A12,'Cell Lineage'!$D$4:$D$199,E$3)</x:f>
        <x:v>0.01841324293721679</x:v>
      </x:c>
      <x:c r="F12" s="92" t="n">
        <x:f>SUMIFS('Cell Lineage'!$AA$4:$AA$199,'Cell Lineage'!$A$4:$A$199,$A12,'Cell Lineage'!$D$4:$D$199,F$3)</x:f>
        <x:v>0.06921025159344038</x:v>
      </x:c>
      <x:c r="G12" s="92" t="n">
        <x:f>SUMIFS('Cell Lineage'!$AA$4:$AA$199,'Cell Lineage'!$A$4:$A$199,$A12,'Cell Lineage'!$D$4:$D$199,G$3)</x:f>
        <x:v>0.1542446918823595</x:v>
      </x:c>
      <x:c r="H12" s="92" t="n">
        <x:f>SUMIFS('Cell Lineage'!$AA$4:$AA$199,'Cell Lineage'!$A$4:$A$199,$A12,'Cell Lineage'!$D$4:$D$199,H$3)</x:f>
        <x:v>0.08532072939129631</x:v>
      </x:c>
      <x:c r="I12" s="92" t="n">
        <x:f>SUMIFS('Cell Lineage'!$AA$4:$AA$199,'Cell Lineage'!$A$4:$A$199,$A12,'Cell Lineage'!$D$4:$D$199,I$3)</x:f>
        <x:v>0.038855030135998045</x:v>
      </x:c>
      <x:c r="J12" s="100" t="n">
        <x:f>SUMIFS('Cell Lineage'!$AA$4:$AA$199,'Cell Lineage'!$A$4:$A$199,$A12,'Cell Lineage'!$D$4:$D$199,J$3)</x:f>
        <x:v>0</x:v>
      </x:c>
      <x:c r="K12" s="92" t="n">
        <x:f>SUMIFS('Cell Lineage'!$AA$4:$AA$199,'Cell Lineage'!$A$4:$A$199,$A12,'Cell Lineage'!$D$4:$D$199,K$3)</x:f>
        <x:v>0.0025154976632362934</x:v>
      </x:c>
      <x:c r="L12" s="92" t="n">
        <x:f>SUMIFS('Cell Lineage'!$AA$4:$AA$199,'Cell Lineage'!$A$4:$A$199,$A12,'Cell Lineage'!$D$4:$D$199,L$3)</x:f>
        <x:v>0.017199984565188252</x:v>
      </x:c>
      <x:c r="M12" s="92" t="n">
        <x:f>SUMIFS('Cell Lineage'!$AA$4:$AA$199,'Cell Lineage'!$A$4:$A$199,$A12,'Cell Lineage'!$D$4:$D$199,M$3)</x:f>
        <x:v>0.001002147986342423</x:v>
      </x:c>
      <x:c r="N12" s="92" t="n">
        <x:f>SUMIFS('Cell Lineage'!$AA$4:$AA$199,'Cell Lineage'!$A$4:$A$199,$A12,'Cell Lineage'!$D$4:$D$199,N$3)</x:f>
        <x:v>0.4810449326302669</x:v>
      </x:c>
      <x:c r="O12" s="93" t="n">
        <x:f>SUMIFS('Cell Lineage'!$AA$4:$AA$199,'Cell Lineage'!$A$4:$A$199,$A12,'Cell Lineage'!$D$4:$D$199,O$3)</x:f>
        <x:v>0.0010534587423553926</x:v>
      </x:c>
    </x:row>
    <x:row r="13">
      <x:c r="A13" s="69" t="str">
        <x:v>NO</x:v>
      </x:c>
      <x:c r="B13" s="91" t="n">
        <x:f>SUMIFS('Cell Lineage'!$AA$4:$AA$199,'Cell Lineage'!$A$4:$A$199,$A13,'Cell Lineage'!$D$4:$D$199,B$3)</x:f>
        <x:v>0.03726261305213531</x:v>
      </x:c>
      <x:c r="C13" s="92" t="n">
        <x:f>SUMIFS('Cell Lineage'!$AA$4:$AA$199,'Cell Lineage'!$A$4:$A$199,$A13,'Cell Lineage'!$D$4:$D$199,C$3)</x:f>
        <x:v>0.008802413236905029</x:v>
      </x:c>
      <x:c r="D13" s="92" t="n">
        <x:f>SUMIFS('Cell Lineage'!$AA$4:$AA$199,'Cell Lineage'!$A$4:$A$199,$A13,'Cell Lineage'!$D$4:$D$199,D$3)</x:f>
        <x:v>0.048974798950582495</x:v>
      </x:c>
      <x:c r="E13" s="92" t="n">
        <x:f>SUMIFS('Cell Lineage'!$AA$4:$AA$199,'Cell Lineage'!$A$4:$A$199,$A13,'Cell Lineage'!$D$4:$D$199,E$3)</x:f>
        <x:v>0.021860502320952185</x:v>
      </x:c>
      <x:c r="F13" s="92" t="n">
        <x:f>SUMIFS('Cell Lineage'!$AA$4:$AA$199,'Cell Lineage'!$A$4:$A$199,$A13,'Cell Lineage'!$D$4:$D$199,F$3)</x:f>
        <x:v>0.006829936052050875</x:v>
      </x:c>
      <x:c r="G13" s="92" t="n">
        <x:f>SUMIFS('Cell Lineage'!$AA$4:$AA$199,'Cell Lineage'!$A$4:$A$199,$A13,'Cell Lineage'!$D$4:$D$199,G$3)</x:f>
        <x:v>0.3212199053606622</x:v>
      </x:c>
      <x:c r="H13" s="92" t="n">
        <x:f>SUMIFS('Cell Lineage'!$AA$4:$AA$199,'Cell Lineage'!$A$4:$A$199,$A13,'Cell Lineage'!$D$4:$D$199,H$3)</x:f>
        <x:v>0.06464913732465098</x:v>
      </x:c>
      <x:c r="I13" s="92" t="n">
        <x:f>SUMIFS('Cell Lineage'!$AA$4:$AA$199,'Cell Lineage'!$A$4:$A$199,$A13,'Cell Lineage'!$D$4:$D$199,I$3)</x:f>
        <x:v>0.08192449243429978</x:v>
      </x:c>
      <x:c r="J13" s="92" t="n">
        <x:f>SUMIFS('Cell Lineage'!$AA$4:$AA$199,'Cell Lineage'!$A$4:$A$199,$A13,'Cell Lineage'!$D$4:$D$199,J$3)</x:f>
        <x:v>0.01902964506531117</x:v>
      </x:c>
      <x:c r="K13" s="100" t="n">
        <x:f>SUMIFS('Cell Lineage'!$AA$4:$AA$199,'Cell Lineage'!$A$4:$A$199,$A13,'Cell Lineage'!$D$4:$D$199,K$3)</x:f>
        <x:v>0</x:v>
      </x:c>
      <x:c r="L13" s="92" t="n">
        <x:f>SUMIFS('Cell Lineage'!$AA$4:$AA$199,'Cell Lineage'!$A$4:$A$199,$A13,'Cell Lineage'!$D$4:$D$199,L$3)</x:f>
        <x:v>0.005365251091050114</x:v>
      </x:c>
      <x:c r="M13" s="92" t="n">
        <x:f>SUMIFS('Cell Lineage'!$AA$4:$AA$199,'Cell Lineage'!$A$4:$A$199,$A13,'Cell Lineage'!$D$4:$D$199,M$3)</x:f>
        <x:v>0.004303199037805712</x:v>
      </x:c>
      <x:c r="N13" s="92" t="n">
        <x:f>SUMIFS('Cell Lineage'!$AA$4:$AA$199,'Cell Lineage'!$A$4:$A$199,$A13,'Cell Lineage'!$D$4:$D$199,N$3)</x:f>
        <x:v>0.3751956462332708</x:v>
      </x:c>
      <x:c r="O13" s="93" t="n">
        <x:f>SUMIFS('Cell Lineage'!$AA$4:$AA$199,'Cell Lineage'!$A$4:$A$199,$A13,'Cell Lineage'!$D$4:$D$199,O$3)</x:f>
        <x:v>0.004582459840323345</x:v>
      </x:c>
    </x:row>
    <x:row r="14">
      <x:c r="A14" s="69" t="str">
        <x:v>SG</x:v>
      </x:c>
      <x:c r="B14" s="91" t="n">
        <x:f>SUMIFS('Cell Lineage'!$AA$4:$AA$199,'Cell Lineage'!$A$4:$A$199,$A14,'Cell Lineage'!$D$4:$D$199,B$3)</x:f>
        <x:v>0.04688128862675364</x:v>
      </x:c>
      <x:c r="C14" s="92" t="n">
        <x:f>SUMIFS('Cell Lineage'!$AA$4:$AA$199,'Cell Lineage'!$A$4:$A$199,$A14,'Cell Lineage'!$D$4:$D$199,C$3)</x:f>
        <x:v>0.005877878595433918</x:v>
      </x:c>
      <x:c r="D14" s="92" t="n">
        <x:f>SUMIFS('Cell Lineage'!$AA$4:$AA$199,'Cell Lineage'!$A$4:$A$199,$A14,'Cell Lineage'!$D$4:$D$199,D$3)</x:f>
        <x:v>0.03228085303923413</x:v>
      </x:c>
      <x:c r="E14" s="92" t="n">
        <x:f>SUMIFS('Cell Lineage'!$AA$4:$AA$199,'Cell Lineage'!$A$4:$A$199,$A14,'Cell Lineage'!$D$4:$D$199,E$3)</x:f>
        <x:v>0.016863850536511217</x:v>
      </x:c>
      <x:c r="F14" s="92" t="n">
        <x:f>SUMIFS('Cell Lineage'!$AA$4:$AA$199,'Cell Lineage'!$A$4:$A$199,$A14,'Cell Lineage'!$D$4:$D$199,F$3)</x:f>
        <x:v>0.15866409425249492</x:v>
      </x:c>
      <x:c r="G14" s="92" t="n">
        <x:f>SUMIFS('Cell Lineage'!$AA$4:$AA$199,'Cell Lineage'!$A$4:$A$199,$A14,'Cell Lineage'!$D$4:$D$199,G$3)</x:f>
        <x:v>0.10644908220500948</x:v>
      </x:c>
      <x:c r="H14" s="92" t="n">
        <x:f>SUMIFS('Cell Lineage'!$AA$4:$AA$199,'Cell Lineage'!$A$4:$A$199,$A14,'Cell Lineage'!$D$4:$D$199,H$3)</x:f>
        <x:v>0.059581839664076236</x:v>
      </x:c>
      <x:c r="I14" s="92" t="n">
        <x:f>SUMIFS('Cell Lineage'!$AA$4:$AA$199,'Cell Lineage'!$A$4:$A$199,$A14,'Cell Lineage'!$D$4:$D$199,I$3)</x:f>
        <x:v>0.007155462331802698</x:v>
      </x:c>
      <x:c r="J14" s="92" t="n">
        <x:f>SUMIFS('Cell Lineage'!$AA$4:$AA$199,'Cell Lineage'!$A$4:$A$199,$A14,'Cell Lineage'!$D$4:$D$199,J$3)</x:f>
        <x:v>0.05186692560752873</x:v>
      </x:c>
      <x:c r="K14" s="92" t="n">
        <x:f>SUMIFS('Cell Lineage'!$AA$4:$AA$199,'Cell Lineage'!$A$4:$A$199,$A14,'Cell Lineage'!$D$4:$D$199,K$3)</x:f>
        <x:v>0.00018566957641507367</x:v>
      </x:c>
      <x:c r="L14" s="100" t="n">
        <x:f>SUMIFS('Cell Lineage'!$AA$4:$AA$199,'Cell Lineage'!$A$4:$A$199,$A14,'Cell Lineage'!$D$4:$D$199,L$3)</x:f>
        <x:v>0</x:v>
      </x:c>
      <x:c r="M14" s="92" t="n">
        <x:f>SUMIFS('Cell Lineage'!$AA$4:$AA$199,'Cell Lineage'!$A$4:$A$199,$A14,'Cell Lineage'!$D$4:$D$199,M$3)</x:f>
        <x:v>0.00001798074646728375</x:v>
      </x:c>
      <x:c r="N14" s="92" t="n">
        <x:f>SUMIFS('Cell Lineage'!$AA$4:$AA$199,'Cell Lineage'!$A$4:$A$199,$A14,'Cell Lineage'!$D$4:$D$199,N$3)</x:f>
        <x:v>0.5134996131632964</x:v>
      </x:c>
      <x:c r="O14" s="93" t="n">
        <x:f>SUMIFS('Cell Lineage'!$AA$4:$AA$199,'Cell Lineage'!$A$4:$A$199,$A14,'Cell Lineage'!$D$4:$D$199,O$3)</x:f>
        <x:v>0.0006754616549762695</x:v>
      </x:c>
    </x:row>
    <x:row r="15">
      <x:c r="A15" s="69" t="str">
        <x:v>TR</x:v>
      </x:c>
      <x:c r="B15" s="91" t="n">
        <x:f>SUMIFS('Cell Lineage'!$AA$4:$AA$199,'Cell Lineage'!$A$4:$A$199,$A15,'Cell Lineage'!$D$4:$D$199,B$3)</x:f>
        <x:v>0.003108853778505795</x:v>
      </x:c>
      <x:c r="C15" s="92" t="n">
        <x:f>SUMIFS('Cell Lineage'!$AA$4:$AA$199,'Cell Lineage'!$A$4:$A$199,$A15,'Cell Lineage'!$D$4:$D$199,C$3)</x:f>
        <x:v>0.06279379213431793</x:v>
      </x:c>
      <x:c r="D15" s="92" t="n">
        <x:f>SUMIFS('Cell Lineage'!$AA$4:$AA$199,'Cell Lineage'!$A$4:$A$199,$A15,'Cell Lineage'!$D$4:$D$199,D$3)</x:f>
        <x:v>0.01316378140401622</x:v>
      </x:c>
      <x:c r="E15" s="92" t="n">
        <x:f>SUMIFS('Cell Lineage'!$AA$4:$AA$199,'Cell Lineage'!$A$4:$A$199,$A15,'Cell Lineage'!$D$4:$D$199,E$3)</x:f>
        <x:v>0.025149757877203072</x:v>
      </x:c>
      <x:c r="F15" s="92" t="n">
        <x:f>SUMIFS('Cell Lineage'!$AA$4:$AA$199,'Cell Lineage'!$A$4:$A$199,$A15,'Cell Lineage'!$D$4:$D$199,F$3)</x:f>
        <x:v>0.07959956782439134</x:v>
      </x:c>
      <x:c r="G15" s="92" t="n">
        <x:f>SUMIFS('Cell Lineage'!$AA$4:$AA$199,'Cell Lineage'!$A$4:$A$199,$A15,'Cell Lineage'!$D$4:$D$199,G$3)</x:f>
        <x:v>0.2730610540342683</x:v>
      </x:c>
      <x:c r="H15" s="92" t="n">
        <x:f>SUMIFS('Cell Lineage'!$AA$4:$AA$199,'Cell Lineage'!$A$4:$A$199,$A15,'Cell Lineage'!$D$4:$D$199,H$3)</x:f>
        <x:v>0.09146828929117662</x:v>
      </x:c>
      <x:c r="I15" s="92" t="n">
        <x:f>SUMIFS('Cell Lineage'!$AA$4:$AA$199,'Cell Lineage'!$A$4:$A$199,$A15,'Cell Lineage'!$D$4:$D$199,I$3)</x:f>
        <x:v>0.013268971063066124</x:v>
      </x:c>
      <x:c r="J15" s="92" t="n">
        <x:f>SUMIFS('Cell Lineage'!$AA$4:$AA$199,'Cell Lineage'!$A$4:$A$199,$A15,'Cell Lineage'!$D$4:$D$199,J$3)</x:f>
        <x:v>0.001998818236667944</x:v>
      </x:c>
      <x:c r="K15" s="92" t="n">
        <x:f>SUMIFS('Cell Lineage'!$AA$4:$AA$199,'Cell Lineage'!$A$4:$A$199,$A15,'Cell Lineage'!$D$4:$D$199,K$3)</x:f>
        <x:v>0.00034161273154444447</x:v>
      </x:c>
      <x:c r="L15" s="92" t="n">
        <x:f>SUMIFS('Cell Lineage'!$AA$4:$AA$199,'Cell Lineage'!$A$4:$A$199,$A15,'Cell Lineage'!$D$4:$D$199,L$3)</x:f>
        <x:v>0.0050032041637326176</x:v>
      </x:c>
      <x:c r="M15" s="100" t="n">
        <x:f>SUMIFS('Cell Lineage'!$AA$4:$AA$199,'Cell Lineage'!$A$4:$A$199,$A15,'Cell Lineage'!$D$4:$D$199,M$3)</x:f>
        <x:v>0</x:v>
      </x:c>
      <x:c r="N15" s="92" t="n">
        <x:f>SUMIFS('Cell Lineage'!$AA$4:$AA$199,'Cell Lineage'!$A$4:$A$199,$A15,'Cell Lineage'!$D$4:$D$199,N$3)</x:f>
        <x:v>0.42992536959710126</x:v>
      </x:c>
      <x:c r="O15" s="93" t="n">
        <x:f>SUMIFS('Cell Lineage'!$AA$4:$AA$199,'Cell Lineage'!$A$4:$A$199,$A15,'Cell Lineage'!$D$4:$D$199,O$3)</x:f>
        <x:v>0.0011169278640083752</x:v>
      </x:c>
    </x:row>
    <x:row r="16">
      <x:c r="A16" s="69" t="str">
        <x:v>US</x:v>
      </x:c>
      <x:c r="B16" s="91" t="n">
        <x:f>SUMIFS('Cell Lineage'!$AA$4:$AA$199,'Cell Lineage'!$A$4:$A$199,$A16,'Cell Lineage'!$D$4:$D$199,B$3)</x:f>
        <x:v>0.07184654325899552</x:v>
      </x:c>
      <x:c r="C16" s="92" t="n">
        <x:f>SUMIFS('Cell Lineage'!$AA$4:$AA$199,'Cell Lineage'!$A$4:$A$199,$A16,'Cell Lineage'!$D$4:$D$199,C$3)</x:f>
        <x:v>0.0368129766883349</x:v>
      </x:c>
      <x:c r="D16" s="92" t="n">
        <x:f>SUMIFS('Cell Lineage'!$AA$4:$AA$199,'Cell Lineage'!$A$4:$A$199,$A16,'Cell Lineage'!$D$4:$D$199,D$3)</x:f>
        <x:v>0.21691990536772535</x:v>
      </x:c>
      <x:c r="E16" s="92" t="n">
        <x:f>SUMIFS('Cell Lineage'!$AA$4:$AA$199,'Cell Lineage'!$A$4:$A$199,$A16,'Cell Lineage'!$D$4:$D$199,E$3)</x:f>
        <x:v>0.03384326775238909</x:v>
      </x:c>
      <x:c r="F16" s="92" t="n">
        <x:f>SUMIFS('Cell Lineage'!$AA$4:$AA$199,'Cell Lineage'!$A$4:$A$199,$A16,'Cell Lineage'!$D$4:$D$199,F$3)</x:f>
        <x:v>0.025224089526081916</x:v>
      </x:c>
      <x:c r="G16" s="92" t="n">
        <x:f>SUMIFS('Cell Lineage'!$AA$4:$AA$199,'Cell Lineage'!$A$4:$A$199,$A16,'Cell Lineage'!$D$4:$D$199,G$3)</x:f>
        <x:v>0.2785031422637899</x:v>
      </x:c>
      <x:c r="H16" s="92" t="n">
        <x:f>SUMIFS('Cell Lineage'!$AA$4:$AA$199,'Cell Lineage'!$A$4:$A$199,$A16,'Cell Lineage'!$D$4:$D$199,H$3)</x:f>
        <x:v>0.17177767877597952</x:v>
      </x:c>
      <x:c r="I16" s="92" t="n">
        <x:f>SUMIFS('Cell Lineage'!$AA$4:$AA$199,'Cell Lineage'!$A$4:$A$199,$A16,'Cell Lineage'!$D$4:$D$199,I$3)</x:f>
        <x:v>0.11401883255714945</x:v>
      </x:c>
      <x:c r="J16" s="92" t="n">
        <x:f>SUMIFS('Cell Lineage'!$AA$4:$AA$199,'Cell Lineage'!$A$4:$A$199,$A16,'Cell Lineage'!$D$4:$D$199,J$3)</x:f>
        <x:v>0.00984465122871588</x:v>
      </x:c>
      <x:c r="K16" s="92" t="n">
        <x:f>SUMIFS('Cell Lineage'!$AA$4:$AA$199,'Cell Lineage'!$A$4:$A$199,$A16,'Cell Lineage'!$D$4:$D$199,K$3)</x:f>
        <x:v>0.016252262583814157</x:v>
      </x:c>
      <x:c r="L16" s="92" t="n">
        <x:f>SUMIFS('Cell Lineage'!$AA$4:$AA$199,'Cell Lineage'!$A$4:$A$199,$A16,'Cell Lineage'!$D$4:$D$199,L$3)</x:f>
        <x:v>0.008491104622849828</x:v>
      </x:c>
      <x:c r="M16" s="92" t="n">
        <x:f>SUMIFS('Cell Lineage'!$AA$4:$AA$199,'Cell Lineage'!$A$4:$A$199,$A16,'Cell Lineage'!$D$4:$D$199,M$3)</x:f>
        <x:v>0.0076690277549872525</x:v>
      </x:c>
      <x:c r="N16" s="100" t="n">
        <x:f>SUMIFS('Cell Lineage'!$AA$4:$AA$199,'Cell Lineage'!$A$4:$A$199,$A16,'Cell Lineage'!$D$4:$D$199,N$3)</x:f>
        <x:v>0</x:v>
      </x:c>
      <x:c r="O16" s="93" t="n">
        <x:f>SUMIFS('Cell Lineage'!$AA$4:$AA$199,'Cell Lineage'!$A$4:$A$199,$A16,'Cell Lineage'!$D$4:$D$199,O$3)</x:f>
        <x:v>0.008796517619187316</x:v>
      </x:c>
    </x:row>
    <x:row r="17">
      <x:c r="A17" s="69" t="str">
        <x:v>ZA</x:v>
      </x:c>
      <x:c r="B17" s="94" t="n">
        <x:f>SUMIFS('Cell Lineage'!$AA$4:$AA$199,'Cell Lineage'!$A$4:$A$199,$A17,'Cell Lineage'!$D$4:$D$199,B$3)</x:f>
        <x:v>0.004524043447162957</x:v>
      </x:c>
      <x:c r="C17" s="95" t="n">
        <x:f>SUMIFS('Cell Lineage'!$AA$4:$AA$199,'Cell Lineage'!$A$4:$A$199,$A17,'Cell Lineage'!$D$4:$D$199,C$3)</x:f>
        <x:v>0.002776650308799625</x:v>
      </x:c>
      <x:c r="D17" s="95" t="n">
        <x:f>SUMIFS('Cell Lineage'!$AA$4:$AA$199,'Cell Lineage'!$A$4:$A$199,$A17,'Cell Lineage'!$D$4:$D$199,D$3)</x:f>
        <x:v>0.004199205932644532</x:v>
      </x:c>
      <x:c r="E17" s="95" t="n">
        <x:f>SUMIFS('Cell Lineage'!$AA$4:$AA$199,'Cell Lineage'!$A$4:$A$199,$A17,'Cell Lineage'!$D$4:$D$199,E$3)</x:f>
        <x:v>0.02309982294464798</x:v>
      </x:c>
      <x:c r="F17" s="95" t="n">
        <x:f>SUMIFS('Cell Lineage'!$AA$4:$AA$199,'Cell Lineage'!$A$4:$A$199,$A17,'Cell Lineage'!$D$4:$D$199,F$3)</x:f>
        <x:v>0.0030270178491176424</x:v>
      </x:c>
      <x:c r="G17" s="95" t="n">
        <x:f>SUMIFS('Cell Lineage'!$AA$4:$AA$199,'Cell Lineage'!$A$4:$A$199,$A17,'Cell Lineage'!$D$4:$D$199,G$3)</x:f>
        <x:v>0.35213552204487625</x:v>
      </x:c>
      <x:c r="H17" s="95" t="n">
        <x:f>SUMIFS('Cell Lineage'!$AA$4:$AA$199,'Cell Lineage'!$A$4:$A$199,$A17,'Cell Lineage'!$D$4:$D$199,H$3)</x:f>
        <x:v>0.19926403935867906</x:v>
      </x:c>
      <x:c r="I17" s="95" t="n">
        <x:f>SUMIFS('Cell Lineage'!$AA$4:$AA$199,'Cell Lineage'!$A$4:$A$199,$A17,'Cell Lineage'!$D$4:$D$199,I$3)</x:f>
        <x:v>0.007154815503465509</x:v>
      </x:c>
      <x:c r="J17" s="95" t="n">
        <x:f>SUMIFS('Cell Lineage'!$AA$4:$AA$199,'Cell Lineage'!$A$4:$A$199,$A17,'Cell Lineage'!$D$4:$D$199,J$3)</x:f>
        <x:v>0.00044328375805466477</x:v>
      </x:c>
      <x:c r="K17" s="95" t="n">
        <x:f>SUMIFS('Cell Lineage'!$AA$4:$AA$199,'Cell Lineage'!$A$4:$A$199,$A17,'Cell Lineage'!$D$4:$D$199,K$3)</x:f>
        <x:v>0.0005237457890747768</x:v>
      </x:c>
      <x:c r="L17" s="95" t="n">
        <x:f>SUMIFS('Cell Lineage'!$AA$4:$AA$199,'Cell Lineage'!$A$4:$A$199,$A17,'Cell Lineage'!$D$4:$D$199,L$3)</x:f>
        <x:v>0.005118332748349131</x:v>
      </x:c>
      <x:c r="M17" s="95" t="n">
        <x:f>SUMIFS('Cell Lineage'!$AA$4:$AA$199,'Cell Lineage'!$A$4:$A$199,$A17,'Cell Lineage'!$D$4:$D$199,M$3)</x:f>
        <x:v>0.0026926966366917896</x:v>
      </x:c>
      <x:c r="N17" s="95" t="n">
        <x:f>SUMIFS('Cell Lineage'!$AA$4:$AA$199,'Cell Lineage'!$A$4:$A$199,$A17,'Cell Lineage'!$D$4:$D$199,N$3)</x:f>
        <x:v>0.39504082367843607</x:v>
      </x:c>
      <x:c r="O17" s="102" t="n">
        <x:f>SUMIFS('Cell Lineage'!$AA$4:$AA$199,'Cell Lineage'!$A$4:$A$199,$A17,'Cell Lineage'!$D$4:$D$199,O$3)</x:f>
        <x:v>0</x:v>
      </x:c>
    </x:row>
    <x:row r="19">
      <x:c r="A19" s="8" t="str">
        <x:v>Source and transformation details are in Cell Lineage. Values are shares, not percentages; 0.500000 means 50%.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</x:row>
  </x:sheetData>
  <x:mergeCells>
    <x:mergeCell ref="A1:O1"/>
    <x:mergeCell ref="A2:O2"/>
    <x:mergeCell ref="A19:O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24" hidden="0" customWidth="1"/>
    <x:col min="4" max="4" width="9" hidden="0" customWidth="1"/>
    <x:col min="5" max="5" width="22" hidden="0" customWidth="1"/>
    <x:col min="6" max="6" width="34" hidden="0" customWidth="1"/>
    <x:col min="7" max="7" width="19" hidden="0" customWidth="1"/>
    <x:col min="8" max="8" width="18" hidden="0" customWidth="1"/>
    <x:col min="9" max="9" width="20" hidden="0" customWidth="1"/>
    <x:col min="10" max="10" width="16" hidden="0" customWidth="1"/>
    <x:col min="11" max="11" width="16" hidden="0" customWidth="1"/>
    <x:col min="12" max="12" width="22" hidden="0" customWidth="1"/>
    <x:col min="13" max="13" width="20" hidden="0" customWidth="1"/>
    <x:col min="14" max="14" width="18" hidden="0" customWidth="1"/>
    <x:col min="15" max="15" width="16" hidden="0" customWidth="1"/>
    <x:col min="16" max="16" width="54" hidden="0" customWidth="1"/>
  </x:cols>
  <x:sheetData>
    <x:row r="1" ht="28" customHeight="1">
      <x:c r="A1" s="4" t="str">
        <x:v>Country-Level Methodology and Coverage Audit</x:v>
      </x:c>
      <x:c r="B1" s="4" t="str">
        <x:v>Country-Level Methodology and Coverage Audit</x:v>
      </x:c>
      <x:c r="C1" s="4" t="str">
        <x:v>Country-Level Methodology and Coverage Audit</x:v>
      </x:c>
      <x:c r="D1" s="4" t="str">
        <x:v>Country-Level Methodology and Coverage Audit</x:v>
      </x:c>
      <x:c r="E1" s="4" t="str">
        <x:v>Country-Level Methodology and Coverage Audit</x:v>
      </x:c>
      <x:c r="F1" s="4" t="str">
        <x:v>Country-Level Methodology and Coverage Audit</x:v>
      </x:c>
      <x:c r="G1" s="4" t="str">
        <x:v>Country-Level Methodology and Coverage Audit</x:v>
      </x:c>
      <x:c r="H1" s="4" t="str">
        <x:v>Country-Level Methodology and Coverage Audit</x:v>
      </x:c>
      <x:c r="I1" s="4" t="str">
        <x:v>Country-Level Methodology and Coverage Audit</x:v>
      </x:c>
      <x:c r="J1" s="4" t="str">
        <x:v>Country-Level Methodology and Coverage Audit</x:v>
      </x:c>
      <x:c r="K1" s="4" t="str">
        <x:v>Country-Level Methodology and Coverage Audit</x:v>
      </x:c>
      <x:c r="L1" s="4" t="str">
        <x:v>Country-Level Methodology and Coverage Audit</x:v>
      </x:c>
      <x:c r="M1" s="4" t="str">
        <x:v>Country-Level Methodology and Coverage Audit</x:v>
      </x:c>
      <x:c r="N1" s="4" t="str">
        <x:v>Country-Level Methodology and Coverage Audit</x:v>
      </x:c>
      <x:c r="O1" s="4" t="str">
        <x:v>Country-Level Methodology and Coverage Audit</x:v>
      </x:c>
      <x:c r="P1" s="4" t="str">
        <x:v>Country-Level Methodology and Coverage Audit</x:v>
      </x:c>
    </x:row>
    <x:row r="2">
      <x:c r="A2" s="8" t="str">
        <x:v>The capture ratio compares the 13 included counterpart nodes with the investor's total foreign portfolio in the selected GCAP field. It is not a missing-value rate.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 ht="34" customHeight="1">
      <x:c r="A3" s="20" t="str">
        <x:v>Country</x:v>
      </x:c>
      <x:c r="B3" s="21" t="str">
        <x:v>ISO3_or_Group</x:v>
      </x:c>
      <x:c r="C3" s="21" t="str">
        <x:v>Country_Name</x:v>
      </x:c>
      <x:c r="D3" s="21" t="str">
        <x:v>Year</x:v>
      </x:c>
      <x:c r="E3" s="21" t="str">
        <x:v>Selected_Methodology</x:v>
      </x:c>
      <x:c r="F3" s="21" t="str">
        <x:v>Methodology_Status</x:v>
      </x:c>
      <x:c r="G3" s="21" t="str">
        <x:v>Asset_Class_Codes</x:v>
      </x:c>
      <x:c r="H3" s="21" t="str">
        <x:v>Selected_Source_Rows</x:v>
      </x:c>
      <x:c r="I3" s="21" t="str">
        <x:v>Selected_Source_Issuers</x:v>
      </x:c>
      <x:c r="J3" s="21" t="str">
        <x:v>Restated_NA_Count</x:v>
      </x:c>
      <x:c r="K3" s="21" t="str">
        <x:v>Residency_NA_Count</x:v>
      </x:c>
      <x:c r="L3" s="21" t="str">
        <x:v>Sample_13_Partners_USD_mn</x:v>
      </x:c>
      <x:c r="M3" s="21" t="str">
        <x:v>Global_Foreign_USD_mn</x:v>
      </x:c>
      <x:c r="N3" s="21" t="str">
        <x:v>Sample_Capture_Ratio</x:v>
      </x:c>
      <x:c r="O3" s="21" t="str">
        <x:v>Our_Imputation</x:v>
      </x:c>
      <x:c r="P3" s="22" t="str">
        <x:v>Important_Note</x:v>
      </x:c>
    </x:row>
    <x:row r="4">
      <x:c r="A4" s="46" t="str">
        <x:v>AU</x:v>
      </x:c>
      <x:c r="B4" s="46" t="str">
        <x:v>AUS</x:v>
      </x:c>
      <x:c r="C4" s="46" t="str">
        <x:v>Australia</x:v>
      </x:c>
      <x:c r="D4" s="46" t="n">
        <x:v>2017</x:v>
      </x:c>
      <x:c r="E4" s="46" t="str">
        <x:v>Fund Holdings</x:v>
      </x:c>
      <x:c r="F4" s="50" t="str">
        <x:v>investor-specific fund holdings</x:v>
      </x:c>
      <x:c r="G4" s="46" t="str">
        <x:v>EF+B</x:v>
      </x:c>
      <x:c r="H4" s="46" t="n">
        <x:v>484</x:v>
      </x:c>
      <x:c r="I4" s="46" t="n">
        <x:v>242</x:v>
      </x:c>
      <x:c r="J4" s="46" t="n">
        <x:v>0</x:v>
      </x:c>
      <x:c r="K4" s="46" t="n">
        <x:v>0</x:v>
      </x:c>
      <x:c r="L4" s="47" t="n">
        <x:v>660429.1443206824</x:v>
      </x:c>
      <x:c r="M4" s="47" t="n">
        <x:v>992718.9720374871</x:v>
      </x:c>
      <x:c r="N4" s="104" t="n">
        <x:v>0.6652730157510712</x:v>
      </x:c>
      <x:c r="O4" s="49" t="str">
        <x:v>none</x:v>
      </x:c>
      <x:c r="P4" s="50" t="str">
        <x:v>Australia may use June if December is unavailable</x:v>
      </x:c>
    </x:row>
    <x:row r="5">
      <x:c r="A5" s="53" t="str">
        <x:v>BR</x:v>
      </x:c>
      <x:c r="B5" s="53" t="str">
        <x:v>BRA</x:v>
      </x:c>
      <x:c r="C5" s="53" t="str">
        <x:v>Brazil</x:v>
      </x:c>
      <x:c r="D5" s="53" t="n">
        <x:v>2017</x:v>
      </x:c>
      <x:c r="E5" s="53" t="str">
        <x:v>Issuance</x:v>
      </x:c>
      <x:c r="F5" s="57" t="str">
        <x:v>published GCAP issuance-method fallback</x:v>
      </x:c>
      <x:c r="G5" s="53" t="str">
        <x:v>EF+B</x:v>
      </x:c>
      <x:c r="H5" s="53" t="n">
        <x:v>484</x:v>
      </x:c>
      <x:c r="I5" s="53" t="n">
        <x:v>242</x:v>
      </x:c>
      <x:c r="J5" s="53" t="n">
        <x:v>0</x:v>
      </x:c>
      <x:c r="K5" s="53" t="n">
        <x:v>0</x:v>
      </x:c>
      <x:c r="L5" s="54" t="n">
        <x:v>29855.460337218472</x:v>
      </x:c>
      <x:c r="M5" s="54" t="n">
        <x:v>40136.745930599805</x:v>
      </x:c>
      <x:c r="N5" s="105" t="n">
        <x:v>0.7438435689041997</x:v>
      </x:c>
      <x:c r="O5" s="56" t="str">
        <x:v>none</x:v>
      </x:c>
      <x:c r="P5" s="57" t="str"/>
    </x:row>
    <x:row r="6">
      <x:c r="A6" s="53" t="str">
        <x:v>CA</x:v>
      </x:c>
      <x:c r="B6" s="53" t="str">
        <x:v>CAN</x:v>
      </x:c>
      <x:c r="C6" s="53" t="str">
        <x:v>Canada</x:v>
      </x:c>
      <x:c r="D6" s="53" t="n">
        <x:v>2017</x:v>
      </x:c>
      <x:c r="E6" s="53" t="str">
        <x:v>Fund Holdings</x:v>
      </x:c>
      <x:c r="F6" s="57" t="str">
        <x:v>investor-specific fund holdings</x:v>
      </x:c>
      <x:c r="G6" s="53" t="str">
        <x:v>EF+B</x:v>
      </x:c>
      <x:c r="H6" s="53" t="n">
        <x:v>484</x:v>
      </x:c>
      <x:c r="I6" s="53" t="n">
        <x:v>242</x:v>
      </x:c>
      <x:c r="J6" s="53" t="n">
        <x:v>0</x:v>
      </x:c>
      <x:c r="K6" s="53" t="n">
        <x:v>0</x:v>
      </x:c>
      <x:c r="L6" s="54" t="n">
        <x:v>1556770.1077622268</x:v>
      </x:c>
      <x:c r="M6" s="54" t="n">
        <x:v>1685299.4782987633</x:v>
      </x:c>
      <x:c r="N6" s="105" t="n">
        <x:v>0.9237349965441861</x:v>
      </x:c>
      <x:c r="O6" s="56" t="str">
        <x:v>none</x:v>
      </x:c>
      <x:c r="P6" s="57" t="str"/>
    </x:row>
    <x:row r="7">
      <x:c r="A7" s="53" t="str">
        <x:v>CH</x:v>
      </x:c>
      <x:c r="B7" s="53" t="str">
        <x:v>CHE</x:v>
      </x:c>
      <x:c r="C7" s="53" t="str">
        <x:v>Switzerland</x:v>
      </x:c>
      <x:c r="D7" s="53" t="n">
        <x:v>2017</x:v>
      </x:c>
      <x:c r="E7" s="53" t="str">
        <x:v>Fund Holdings</x:v>
      </x:c>
      <x:c r="F7" s="57" t="str">
        <x:v>investor-specific fund holdings</x:v>
      </x:c>
      <x:c r="G7" s="53" t="str">
        <x:v>EF+B</x:v>
      </x:c>
      <x:c r="H7" s="53" t="n">
        <x:v>484</x:v>
      </x:c>
      <x:c r="I7" s="53" t="n">
        <x:v>242</x:v>
      </x:c>
      <x:c r="J7" s="53" t="n">
        <x:v>0</x:v>
      </x:c>
      <x:c r="K7" s="53" t="n">
        <x:v>0</x:v>
      </x:c>
      <x:c r="L7" s="54" t="n">
        <x:v>1214329.6822280004</x:v>
      </x:c>
      <x:c r="M7" s="54" t="n">
        <x:v>1374097.13909709</x:v>
      </x:c>
      <x:c r="N7" s="105" t="n">
        <x:v>0.8837291394303667</x:v>
      </x:c>
      <x:c r="O7" s="56" t="str">
        <x:v>none</x:v>
      </x:c>
      <x:c r="P7" s="57" t="str"/>
    </x:row>
    <x:row r="8">
      <x:c r="A8" s="53" t="str">
        <x:v>CN</x:v>
      </x:c>
      <x:c r="B8" s="53" t="str">
        <x:v>CHN</x:v>
      </x:c>
      <x:c r="C8" s="53" t="str">
        <x:v>China</x:v>
      </x:c>
      <x:c r="D8" s="53" t="n">
        <x:v>2017</x:v>
      </x:c>
      <x:c r="E8" s="53" t="str">
        <x:v>Issuance</x:v>
      </x:c>
      <x:c r="F8" s="57" t="str">
        <x:v>published GCAP issuance-method fallback</x:v>
      </x:c>
      <x:c r="G8" s="53" t="str">
        <x:v>EF+B</x:v>
      </x:c>
      <x:c r="H8" s="53" t="n">
        <x:v>484</x:v>
      </x:c>
      <x:c r="I8" s="53" t="n">
        <x:v>242</x:v>
      </x:c>
      <x:c r="J8" s="53" t="n">
        <x:v>0</x:v>
      </x:c>
      <x:c r="K8" s="53" t="n">
        <x:v>0</x:v>
      </x:c>
      <x:c r="L8" s="54" t="n">
        <x:v>275953.02054344886</x:v>
      </x:c>
      <x:c r="M8" s="54" t="n">
        <x:v>370221.3693867873</x:v>
      </x:c>
      <x:c r="N8" s="105" t="n">
        <x:v>0.7453730210131335</x:v>
      </x:c>
      <x:c r="O8" s="56" t="str">
        <x:v>none</x:v>
      </x:c>
      <x:c r="P8" s="57" t="str"/>
    </x:row>
    <x:row r="9">
      <x:c r="A9" s="53" t="str">
        <x:v>EA</x:v>
      </x:c>
      <x:c r="B9" s="53" t="str">
        <x:v>EMU</x:v>
      </x:c>
      <x:c r="C9" s="53" t="str">
        <x:v>European Monetary Union</x:v>
      </x:c>
      <x:c r="D9" s="53" t="n">
        <x:v>2017</x:v>
      </x:c>
      <x:c r="E9" s="53" t="str">
        <x:v>Fund Holdings</x:v>
      </x:c>
      <x:c r="F9" s="57" t="str">
        <x:v>investor-specific fund holdings</x:v>
      </x:c>
      <x:c r="G9" s="53" t="str">
        <x:v>EF+B</x:v>
      </x:c>
      <x:c r="H9" s="53" t="n">
        <x:v>484</x:v>
      </x:c>
      <x:c r="I9" s="53" t="n">
        <x:v>242</x:v>
      </x:c>
      <x:c r="J9" s="53" t="n">
        <x:v>1</x:v>
      </x:c>
      <x:c r="K9" s="53" t="n">
        <x:v>1</x:v>
      </x:c>
      <x:c r="L9" s="54" t="n">
        <x:v>7725908.802309686</x:v>
      </x:c>
      <x:c r="M9" s="54" t="n">
        <x:v>10160009.165645503</x:v>
      </x:c>
      <x:c r="N9" s="105" t="n">
        <x:v>0.7604234087143986</x:v>
      </x:c>
      <x:c r="O9" s="56" t="str">
        <x:v>none</x:v>
      </x:c>
      <x:c r="P9" s="57" t="str">
        <x:v>EMU issuer is sum of 19 euro-area members; censored member positions may remain under-covered</x:v>
      </x:c>
    </x:row>
    <x:row r="10">
      <x:c r="A10" s="53" t="str">
        <x:v>UK</x:v>
      </x:c>
      <x:c r="B10" s="53" t="str">
        <x:v>GBR</x:v>
      </x:c>
      <x:c r="C10" s="53" t="str">
        <x:v>United Kingdom</x:v>
      </x:c>
      <x:c r="D10" s="53" t="n">
        <x:v>2017</x:v>
      </x:c>
      <x:c r="E10" s="53" t="str">
        <x:v>Fund Holdings</x:v>
      </x:c>
      <x:c r="F10" s="57" t="str">
        <x:v>investor-specific fund holdings</x:v>
      </x:c>
      <x:c r="G10" s="53" t="str">
        <x:v>EF+B</x:v>
      </x:c>
      <x:c r="H10" s="53" t="n">
        <x:v>484</x:v>
      </x:c>
      <x:c r="I10" s="53" t="n">
        <x:v>242</x:v>
      </x:c>
      <x:c r="J10" s="53" t="n">
        <x:v>0</x:v>
      </x:c>
      <x:c r="K10" s="53" t="n">
        <x:v>0</x:v>
      </x:c>
      <x:c r="L10" s="54" t="n">
        <x:v>2936667.4916742104</x:v>
      </x:c>
      <x:c r="M10" s="54" t="n">
        <x:v>3536838.839552694</x:v>
      </x:c>
      <x:c r="N10" s="105" t="n">
        <x:v>0.830308539601316</x:v>
      </x:c>
      <x:c r="O10" s="56" t="str">
        <x:v>none</x:v>
      </x:c>
      <x:c r="P10" s="57" t="str"/>
    </x:row>
    <x:row r="11">
      <x:c r="A11" s="53" t="str">
        <x:v>JP</x:v>
      </x:c>
      <x:c r="B11" s="53" t="str">
        <x:v>JPN</x:v>
      </x:c>
      <x:c r="C11" s="53" t="str">
        <x:v>Japan</x:v>
      </x:c>
      <x:c r="D11" s="53" t="n">
        <x:v>2017</x:v>
      </x:c>
      <x:c r="E11" s="53" t="str">
        <x:v>Issuance</x:v>
      </x:c>
      <x:c r="F11" s="57" t="str">
        <x:v>published GCAP issuance-method fallback</x:v>
      </x:c>
      <x:c r="G11" s="53" t="str">
        <x:v>EF+B</x:v>
      </x:c>
      <x:c r="H11" s="53" t="n">
        <x:v>484</x:v>
      </x:c>
      <x:c r="I11" s="53" t="n">
        <x:v>242</x:v>
      </x:c>
      <x:c r="J11" s="53" t="n">
        <x:v>0</x:v>
      </x:c>
      <x:c r="K11" s="53" t="n">
        <x:v>0</x:v>
      </x:c>
      <x:c r="L11" s="54" t="n">
        <x:v>3640354.1489420705</x:v>
      </x:c>
      <x:c r="M11" s="54" t="n">
        <x:v>4088111.5452483105</x:v>
      </x:c>
      <x:c r="N11" s="105" t="n">
        <x:v>0.8904732927782568</x:v>
      </x:c>
      <x:c r="O11" s="56" t="str">
        <x:v>none</x:v>
      </x:c>
      <x:c r="P11" s="57" t="str"/>
    </x:row>
    <x:row r="12">
      <x:c r="A12" s="53" t="str">
        <x:v>KR</x:v>
      </x:c>
      <x:c r="B12" s="53" t="str">
        <x:v>KOR</x:v>
      </x:c>
      <x:c r="C12" s="53" t="str">
        <x:v>Korea, Republic of</x:v>
      </x:c>
      <x:c r="D12" s="53" t="n">
        <x:v>2017</x:v>
      </x:c>
      <x:c r="E12" s="53" t="str">
        <x:v>Issuance</x:v>
      </x:c>
      <x:c r="F12" s="57" t="str">
        <x:v>published GCAP issuance-method fallback</x:v>
      </x:c>
      <x:c r="G12" s="53" t="str">
        <x:v>EF+B</x:v>
      </x:c>
      <x:c r="H12" s="53" t="n">
        <x:v>484</x:v>
      </x:c>
      <x:c r="I12" s="53" t="n">
        <x:v>242</x:v>
      </x:c>
      <x:c r="J12" s="53" t="n">
        <x:v>0</x:v>
      </x:c>
      <x:c r="K12" s="53" t="n">
        <x:v>0</x:v>
      </x:c>
      <x:c r="L12" s="54" t="n">
        <x:v>382118.5283146886</x:v>
      </x:c>
      <x:c r="M12" s="54" t="n">
        <x:v>424494.0995506728</x:v>
      </x:c>
      <x:c r="N12" s="105" t="n">
        <x:v>0.9001739452189352</x:v>
      </x:c>
      <x:c r="O12" s="56" t="str">
        <x:v>none</x:v>
      </x:c>
      <x:c r="P12" s="57" t="str"/>
    </x:row>
    <x:row r="13">
      <x:c r="A13" s="53" t="str">
        <x:v>NO</x:v>
      </x:c>
      <x:c r="B13" s="53" t="str">
        <x:v>NOR</x:v>
      </x:c>
      <x:c r="C13" s="53" t="str">
        <x:v>Norway</x:v>
      </x:c>
      <x:c r="D13" s="53" t="n">
        <x:v>2017</x:v>
      </x:c>
      <x:c r="E13" s="53" t="str">
        <x:v>Fund Holdings</x:v>
      </x:c>
      <x:c r="F13" s="57" t="str">
        <x:v>investor-specific fund holdings</x:v>
      </x:c>
      <x:c r="G13" s="53" t="str">
        <x:v>EF+B</x:v>
      </x:c>
      <x:c r="H13" s="53" t="n">
        <x:v>484</x:v>
      </x:c>
      <x:c r="I13" s="53" t="n">
        <x:v>242</x:v>
      </x:c>
      <x:c r="J13" s="53" t="n">
        <x:v>0</x:v>
      </x:c>
      <x:c r="K13" s="53" t="n">
        <x:v>0</x:v>
      </x:c>
      <x:c r="L13" s="54" t="n">
        <x:v>1064739.6937923133</x:v>
      </x:c>
      <x:c r="M13" s="54" t="n">
        <x:v>1242198.751298638</x:v>
      </x:c>
      <x:c r="N13" s="105" t="n">
        <x:v>0.8571411721990521</x:v>
      </x:c>
      <x:c r="O13" s="56" t="str">
        <x:v>none</x:v>
      </x:c>
      <x:c r="P13" s="57" t="str"/>
    </x:row>
    <x:row r="14">
      <x:c r="A14" s="53" t="str">
        <x:v>SG</x:v>
      </x:c>
      <x:c r="B14" s="53" t="str">
        <x:v>SGP</x:v>
      </x:c>
      <x:c r="C14" s="53" t="str">
        <x:v>Singapore</x:v>
      </x:c>
      <x:c r="D14" s="53" t="n">
        <x:v>2017</x:v>
      </x:c>
      <x:c r="E14" s="53" t="str">
        <x:v>Issuance</x:v>
      </x:c>
      <x:c r="F14" s="57" t="str">
        <x:v>published GCAP issuance-method fallback</x:v>
      </x:c>
      <x:c r="G14" s="53" t="str">
        <x:v>EF+B</x:v>
      </x:c>
      <x:c r="H14" s="53" t="n">
        <x:v>484</x:v>
      </x:c>
      <x:c r="I14" s="53" t="n">
        <x:v>242</x:v>
      </x:c>
      <x:c r="J14" s="53" t="n">
        <x:v>0</x:v>
      </x:c>
      <x:c r="K14" s="53" t="n">
        <x:v>0</x:v>
      </x:c>
      <x:c r="L14" s="54" t="n">
        <x:v>810950.6587966846</x:v>
      </x:c>
      <x:c r="M14" s="54" t="n">
        <x:v>1260750.9138599215</x:v>
      </x:c>
      <x:c r="N14" s="105" t="n">
        <x:v>0.6432282934571698</x:v>
      </x:c>
      <x:c r="O14" s="56" t="str">
        <x:v>none</x:v>
      </x:c>
      <x:c r="P14" s="57" t="str"/>
    </x:row>
    <x:row r="15">
      <x:c r="A15" s="53" t="str">
        <x:v>TR</x:v>
      </x:c>
      <x:c r="B15" s="53" t="str">
        <x:v>TUR</x:v>
      </x:c>
      <x:c r="C15" s="53" t="str">
        <x:v>Turkey</x:v>
      </x:c>
      <x:c r="D15" s="53" t="n">
        <x:v>2017</x:v>
      </x:c>
      <x:c r="E15" s="53" t="str">
        <x:v>Issuance</x:v>
      </x:c>
      <x:c r="F15" s="57" t="str">
        <x:v>published GCAP issuance-method fallback</x:v>
      </x:c>
      <x:c r="G15" s="53" t="str">
        <x:v>EF+B</x:v>
      </x:c>
      <x:c r="H15" s="53" t="n">
        <x:v>484</x:v>
      </x:c>
      <x:c r="I15" s="53" t="n">
        <x:v>242</x:v>
      </x:c>
      <x:c r="J15" s="53" t="n">
        <x:v>0</x:v>
      </x:c>
      <x:c r="K15" s="53" t="n">
        <x:v>0</x:v>
      </x:c>
      <x:c r="L15" s="54" t="n">
        <x:v>739.5574938823974</x:v>
      </x:c>
      <x:c r="M15" s="54" t="n">
        <x:v>1151.582877748292</x:v>
      </x:c>
      <x:c r="N15" s="105" t="n">
        <x:v>0.6422095258384405</x:v>
      </x:c>
      <x:c r="O15" s="56" t="str">
        <x:v>none</x:v>
      </x:c>
      <x:c r="P15" s="57" t="str"/>
    </x:row>
    <x:row r="16">
      <x:c r="A16" s="53" t="str">
        <x:v>US</x:v>
      </x:c>
      <x:c r="B16" s="53" t="str">
        <x:v>USA</x:v>
      </x:c>
      <x:c r="C16" s="53" t="str">
        <x:v>United States</x:v>
      </x:c>
      <x:c r="D16" s="53" t="n">
        <x:v>2017</x:v>
      </x:c>
      <x:c r="E16" s="53" t="str">
        <x:v>Fund Holdings</x:v>
      </x:c>
      <x:c r="F16" s="57" t="str">
        <x:v>investor-specific fund holdings</x:v>
      </x:c>
      <x:c r="G16" s="53" t="str">
        <x:v>E+BC+BG+BSF</x:v>
      </x:c>
      <x:c r="H16" s="53" t="n">
        <x:v>968</x:v>
      </x:c>
      <x:c r="I16" s="53" t="n">
        <x:v>242</x:v>
      </x:c>
      <x:c r="J16" s="53" t="n">
        <x:v>0</x:v>
      </x:c>
      <x:c r="K16" s="53" t="n">
        <x:v>0</x:v>
      </x:c>
      <x:c r="L16" s="54" t="n">
        <x:v>8140889.447894838</x:v>
      </x:c>
      <x:c r="M16" s="54" t="n">
        <x:v>9936736.784225438</x:v>
      </x:c>
      <x:c r="N16" s="105" t="n">
        <x:v>0.8192719224301577</x:v>
      </x:c>
      <x:c r="O16" s="56" t="str">
        <x:v>none</x:v>
      </x:c>
      <x:c r="P16" s="57" t="str"/>
    </x:row>
    <x:row r="17">
      <x:c r="A17" s="60" t="str">
        <x:v>ZA</x:v>
      </x:c>
      <x:c r="B17" s="60" t="str">
        <x:v>ZAF</x:v>
      </x:c>
      <x:c r="C17" s="60" t="str">
        <x:v>South Africa</x:v>
      </x:c>
      <x:c r="D17" s="60" t="n">
        <x:v>2017</x:v>
      </x:c>
      <x:c r="E17" s="60" t="str">
        <x:v>Issuance</x:v>
      </x:c>
      <x:c r="F17" s="64" t="str">
        <x:v>published GCAP issuance-method fallback</x:v>
      </x:c>
      <x:c r="G17" s="60" t="str">
        <x:v>EF+B</x:v>
      </x:c>
      <x:c r="H17" s="60" t="n">
        <x:v>484</x:v>
      </x:c>
      <x:c r="I17" s="60" t="n">
        <x:v>242</x:v>
      </x:c>
      <x:c r="J17" s="60" t="n">
        <x:v>0</x:v>
      </x:c>
      <x:c r="K17" s="60" t="n">
        <x:v>0</x:v>
      </x:c>
      <x:c r="L17" s="61" t="n">
        <x:v>168554.89302416262</x:v>
      </x:c>
      <x:c r="M17" s="61" t="n">
        <x:v>181672.13469654034</x:v>
      </x:c>
      <x:c r="N17" s="106" t="n">
        <x:v>0.9277971732192812</x:v>
      </x:c>
      <x:c r="O17" s="63" t="str">
        <x:v>none</x:v>
      </x:c>
      <x:c r="P17" s="64" t="str"/>
    </x:row>
  </x:sheetData>
  <x:mergeCells>
    <x:mergeCell ref="A1:P1"/>
    <x:mergeCell ref="A2:P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2" hidden="0" customWidth="1"/>
    <x:col min="3" max="3" width="20" hidden="0" customWidth="1"/>
    <x:col min="4" max="4" width="58" hidden="0" customWidth="1"/>
    <x:col min="5" max="5" width="62" hidden="0" customWidth="1"/>
  </x:cols>
  <x:sheetData>
    <x:row r="1" ht="28" customHeight="1">
      <x:c r="A1" s="4" t="str">
        <x:v>Sources, Roles and Limitations</x:v>
      </x:c>
      <x:c r="B1" s="4" t="str">
        <x:v>Sources, Roles and Limitations</x:v>
      </x:c>
      <x:c r="C1" s="4" t="str">
        <x:v>Sources, Roles and Limitations</x:v>
      </x:c>
      <x:c r="D1" s="4" t="str">
        <x:v>Sources, Roles and Limitations</x:v>
      </x:c>
      <x:c r="E1" s="4" t="str">
        <x:v>Sources, Roles and Limitations</x:v>
      </x:c>
    </x:row>
    <x:row r="2">
      <x:c r="A2" s="8" t="str">
        <x:v>Only GCAP data feed the delivered portfolio matrices. IMF CPIS and US TIC are upstream sources; BIS is documented as a separate robustness source and is not mixed into the portfolio matrix.</x:v>
      </x:c>
      <x:c r="B2" s="8"/>
      <x:c r="C2" s="8"/>
      <x:c r="D2" s="8"/>
      <x:c r="E2" s="8"/>
    </x:row>
    <x:row r="3" ht="34" customHeight="1">
      <x:c r="A3" s="20" t="str">
        <x:v>Source</x:v>
      </x:c>
      <x:c r="B3" s="21" t="str">
        <x:v>Role</x:v>
      </x:c>
      <x:c r="C3" s="21" t="str">
        <x:v>Used_In_Main_Matrix</x:v>
      </x:c>
      <x:c r="D3" s="21" t="str">
        <x:v>URL</x:v>
      </x:c>
      <x:c r="E3" s="22" t="str">
        <x:v>Important_Limitation</x:v>
      </x:c>
    </x:row>
    <x:row r="4">
      <x:c r="A4" s="113" t="str">
        <x:v>Global Capital Allocation Project</x:v>
      </x:c>
      <x:c r="B4" s="113" t="str">
        <x:v>Primary distributed dataset; estimated nationality restatement of CPIS/TIC</x:v>
      </x:c>
      <x:c r="C4" s="113" t="str">
        <x:v>Yes</x:v>
      </x:c>
      <x:c r="D4" s="116" t="str">
        <x:v>https://www.antoniocoppola.org/data</x:v>
      </x:c>
      <x:c r="E4" s="113" t="str">
        <x:v>Restated positions are estimates, not direct official bilateral observations.</x:v>
      </x:c>
    </x:row>
    <x:row r="5">
      <x:c r="A5" s="114" t="str">
        <x:v>GCAP dataset documentation v1.8</x:v>
      </x:c>
      <x:c r="B5" s="114" t="str">
        <x:v>Field definitions, coverage, interpolation/extrapolation and EMU censoring disclosure</x:v>
      </x:c>
      <x:c r="C5" s="114" t="str">
        <x:v>Yes</x:v>
      </x:c>
      <x:c r="D5" s="117" t="str">
        <x:v>https://globalcapitalallocation.s3.us-east-2.amazonaws.com/Restated_Bilateral_External_Portfolios_ReadMe.pdf</x:v>
      </x:c>
      <x:c r="E5" s="114" t="str">
        <x:v>Some residency positions are interpolated/extrapolated by the publisher; affected cells are not individually flagged in the distributed file.</x:v>
      </x:c>
    </x:row>
    <x:row r="6">
      <x:c r="A6" s="114" t="str">
        <x:v>IMF PIP/CPIS</x:v>
      </x:c>
      <x:c r="B6" s="114" t="str">
        <x:v>Upstream residency-based portfolio holdings for non-US investors</x:v>
      </x:c>
      <x:c r="C6" s="114" t="str">
        <x:v>Upstream</x:v>
      </x:c>
      <x:c r="D6" s="117" t="str">
        <x:v>https://data.imf.org/en/Data-Explorer?datasetUrn=IMF.STA:PIP(5.0.0)</x:v>
      </x:c>
      <x:c r="E6" s="114" t="str">
        <x:v>Current portal version may differ from the historical CPIS vintage used in the 2022 GCAP file.</x:v>
      </x:c>
    </x:row>
    <x:row r="7">
      <x:c r="A7" s="114" t="str">
        <x:v>US Treasury TIC</x:v>
      </x:c>
      <x:c r="B7" s="114" t="str">
        <x:v>Upstream residency-based portfolio holdings for the US investor row</x:v>
      </x:c>
      <x:c r="C7" s="114" t="str">
        <x:v>Upstream</x:v>
      </x:c>
      <x:c r="D7" s="117" t="str">
        <x:v>https://home.treasury.gov/data/treasury-international-capital-tic-system</x:v>
      </x:c>
      <x:c r="E7" s="114" t="str">
        <x:v>US asset classes differ from CPIS: equity and bond subcategories are reported separately.</x:v>
      </x:c>
    </x:row>
    <x:row r="8">
      <x:c r="A8" s="114" t="str">
        <x:v>Coppola, Maggiori, Neiman and Schreger (QJE 2021)</x:v>
      </x:c>
      <x:c r="B8" s="114" t="str">
        <x:v>Peer-reviewed restatement methodology</x:v>
      </x:c>
      <x:c r="C8" s="114" t="str">
        <x:v>Methodology</x:v>
      </x:c>
      <x:c r="D8" s="117" t="str">
        <x:v>https://doi.org/10.1093/qje/qjab014</x:v>
      </x:c>
      <x:c r="E8" s="114" t="str">
        <x:v>Nationality reallocation relies on estimated matrices from fund holdings or securities issuance.</x:v>
      </x:c>
    </x:row>
    <x:row r="9">
      <x:c r="A9" s="115" t="str">
        <x:v>BIS international banking statistics</x:v>
      </x:c>
      <x:c r="B9" s="115" t="str">
        <x:v>Separate bank-exposure robustness source</x:v>
      </x:c>
      <x:c r="C9" s="115" t="str">
        <x:v>No</x:v>
      </x:c>
      <x:c r="D9" s="118" t="str">
        <x:v>https://www.bis.org/statistics/bankstats.htm</x:v>
      </x:c>
      <x:c r="E9" s="115" t="str">
        <x:v>Not merged with portfolio securities because the instrument and reporting perimeter differ and overlap may cause double counting.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Automated Matrix Validation</x:v>
      </x:c>
      <x:c r="B1" s="4" t="str">
        <x:v>Automated Matrix Validation</x:v>
      </x:c>
      <x:c r="C1" s="4" t="str">
        <x:v>Automated Matrix Validation</x:v>
      </x:c>
      <x:c r="D1" s="4" t="str">
        <x:v>Automated Matrix Validation</x:v>
      </x:c>
      <x:c r="E1" s="4" t="str">
        <x:v>Automated Matrix Validation</x:v>
      </x:c>
      <x:c r="F1" s="4" t="str">
        <x:v>Automated Matrix Validation</x:v>
      </x:c>
      <x:c r="G1" s="4" t="str">
        <x:v>Automated Matrix Validation</x:v>
      </x:c>
    </x:row>
    <x:row r="2">
      <x:c r="A2" s="8" t="str">
        <x:v>One assertion per matrix-country row. Status is OK only when row sum = 1 within tolerance, diagonal = 0, NA count = 0 and negative count = 0.</x:v>
      </x:c>
      <x:c r="B2" s="8"/>
      <x:c r="C2" s="8"/>
      <x:c r="D2" s="8"/>
      <x:c r="E2" s="8"/>
      <x:c r="F2" s="8"/>
      <x:c r="G2" s="8"/>
    </x:row>
    <x:row r="3" ht="34" customHeight="1">
      <x:c r="A3" s="20" t="str">
        <x:v>Matrix</x:v>
      </x:c>
      <x:c r="B3" s="21" t="str">
        <x:v>Country</x:v>
      </x:c>
      <x:c r="C3" s="21" t="str">
        <x:v>Row Sum</x:v>
      </x:c>
      <x:c r="D3" s="21" t="str">
        <x:v>Diagonal</x:v>
      </x:c>
      <x:c r="E3" s="21" t="str">
        <x:v>NA Count</x:v>
      </x:c>
      <x:c r="F3" s="21" t="str">
        <x:v>Negative Count</x:v>
      </x:c>
      <x:c r="G3" s="22" t="str">
        <x:v>Status</x:v>
      </x:c>
    </x:row>
    <x:row r="4">
      <x:c r="A4" s="46" t="str">
        <x:v>W Main Restated</x:v>
      </x:c>
      <x:c r="B4" s="46" t="str">
        <x:v>AU</x:v>
      </x:c>
      <x:c r="C4" s="121" t="n">
        <x:f>SUM('W Main Restated'!B4:O4)</x:f>
        <x:v>1</x:v>
      </x:c>
      <x:c r="D4" s="121" t="n">
        <x:f>'W Main Restated'!B4</x:f>
        <x:v>0</x:v>
      </x:c>
      <x:c r="E4" s="122" t="n">
        <x:f>COUNTBLANK('W Main Restated'!B4:O4)</x:f>
        <x:v>0</x:v>
      </x:c>
      <x:c r="F4" s="122" t="n">
        <x:f>COUNTIF('W Main Restated'!B4:O4,"&lt;0")</x:f>
        <x:v>0</x:v>
      </x:c>
      <x:c r="G4" s="123" t="str">
        <x:f>IF(AND(ABS(C4-1)&lt;README!$B$14,D4=0,E4=0,F4=0),"OK","CHECK")</x:f>
        <x:v>OK</x:v>
      </x:c>
    </x:row>
    <x:row r="5">
      <x:c r="A5" s="53" t="str">
        <x:v>W Main Restated</x:v>
      </x:c>
      <x:c r="B5" s="53" t="str">
        <x:v>BR</x:v>
      </x:c>
      <x:c r="C5" s="124" t="n">
        <x:f>SUM('W Main Restated'!B5:O5)</x:f>
        <x:v>1.0000000000000002</x:v>
      </x:c>
      <x:c r="D5" s="124" t="n">
        <x:f>'W Main Restated'!C5</x:f>
        <x:v>0</x:v>
      </x:c>
      <x:c r="E5" s="125" t="n">
        <x:f>COUNTBLANK('W Main Restated'!B5:O5)</x:f>
        <x:v>0</x:v>
      </x:c>
      <x:c r="F5" s="125" t="n">
        <x:f>COUNTIF('W Main Restated'!B5:O5,"&lt;0")</x:f>
        <x:v>0</x:v>
      </x:c>
      <x:c r="G5" s="126" t="str">
        <x:f>IF(AND(ABS(C5-1)&lt;README!$B$14,D5=0,E5=0,F5=0),"OK","CHECK")</x:f>
        <x:v>OK</x:v>
      </x:c>
    </x:row>
    <x:row r="6">
      <x:c r="A6" s="53" t="str">
        <x:v>W Main Restated</x:v>
      </x:c>
      <x:c r="B6" s="53" t="str">
        <x:v>CA</x:v>
      </x:c>
      <x:c r="C6" s="124" t="n">
        <x:f>SUM('W Main Restated'!B6:O6)</x:f>
        <x:v>0.9999999999999999</x:v>
      </x:c>
      <x:c r="D6" s="124" t="n">
        <x:f>'W Main Restated'!D6</x:f>
        <x:v>0</x:v>
      </x:c>
      <x:c r="E6" s="125" t="n">
        <x:f>COUNTBLANK('W Main Restated'!B6:O6)</x:f>
        <x:v>0</x:v>
      </x:c>
      <x:c r="F6" s="125" t="n">
        <x:f>COUNTIF('W Main Restated'!B6:O6,"&lt;0")</x:f>
        <x:v>0</x:v>
      </x:c>
      <x:c r="G6" s="126" t="str">
        <x:f>IF(AND(ABS(C6-1)&lt;README!$B$14,D6=0,E6=0,F6=0),"OK","CHECK")</x:f>
        <x:v>OK</x:v>
      </x:c>
    </x:row>
    <x:row r="7">
      <x:c r="A7" s="53" t="str">
        <x:v>W Main Restated</x:v>
      </x:c>
      <x:c r="B7" s="53" t="str">
        <x:v>CH</x:v>
      </x:c>
      <x:c r="C7" s="124" t="n">
        <x:f>SUM('W Main Restated'!B7:O7)</x:f>
        <x:v>0.9999999999999999</x:v>
      </x:c>
      <x:c r="D7" s="124" t="n">
        <x:f>'W Main Restated'!E7</x:f>
        <x:v>0</x:v>
      </x:c>
      <x:c r="E7" s="125" t="n">
        <x:f>COUNTBLANK('W Main Restated'!B7:O7)</x:f>
        <x:v>0</x:v>
      </x:c>
      <x:c r="F7" s="125" t="n">
        <x:f>COUNTIF('W Main Restated'!B7:O7,"&lt;0")</x:f>
        <x:v>0</x:v>
      </x:c>
      <x:c r="G7" s="126" t="str">
        <x:f>IF(AND(ABS(C7-1)&lt;README!$B$14,D7=0,E7=0,F7=0),"OK","CHECK")</x:f>
        <x:v>OK</x:v>
      </x:c>
    </x:row>
    <x:row r="8">
      <x:c r="A8" s="53" t="str">
        <x:v>W Main Restated</x:v>
      </x:c>
      <x:c r="B8" s="53" t="str">
        <x:v>CN</x:v>
      </x:c>
      <x:c r="C8" s="124" t="n">
        <x:f>SUM('W Main Restated'!B8:O8)</x:f>
        <x:v>0.9999999999999999</x:v>
      </x:c>
      <x:c r="D8" s="124" t="n">
        <x:f>'W Main Restated'!F8</x:f>
        <x:v>0</x:v>
      </x:c>
      <x:c r="E8" s="125" t="n">
        <x:f>COUNTBLANK('W Main Restated'!B8:O8)</x:f>
        <x:v>0</x:v>
      </x:c>
      <x:c r="F8" s="125" t="n">
        <x:f>COUNTIF('W Main Restated'!B8:O8,"&lt;0")</x:f>
        <x:v>0</x:v>
      </x:c>
      <x:c r="G8" s="126" t="str">
        <x:f>IF(AND(ABS(C8-1)&lt;README!$B$14,D8=0,E8=0,F8=0),"OK","CHECK")</x:f>
        <x:v>OK</x:v>
      </x:c>
    </x:row>
    <x:row r="9">
      <x:c r="A9" s="53" t="str">
        <x:v>W Main Restated</x:v>
      </x:c>
      <x:c r="B9" s="53" t="str">
        <x:v>EA</x:v>
      </x:c>
      <x:c r="C9" s="124" t="n">
        <x:f>SUM('W Main Restated'!B9:O9)</x:f>
        <x:v>1.0000000000000002</x:v>
      </x:c>
      <x:c r="D9" s="124" t="n">
        <x:f>'W Main Restated'!G9</x:f>
        <x:v>0</x:v>
      </x:c>
      <x:c r="E9" s="125" t="n">
        <x:f>COUNTBLANK('W Main Restated'!B9:O9)</x:f>
        <x:v>0</x:v>
      </x:c>
      <x:c r="F9" s="125" t="n">
        <x:f>COUNTIF('W Main Restated'!B9:O9,"&lt;0")</x:f>
        <x:v>0</x:v>
      </x:c>
      <x:c r="G9" s="126" t="str">
        <x:f>IF(AND(ABS(C9-1)&lt;README!$B$14,D9=0,E9=0,F9=0),"OK","CHECK")</x:f>
        <x:v>OK</x:v>
      </x:c>
    </x:row>
    <x:row r="10">
      <x:c r="A10" s="53" t="str">
        <x:v>W Main Restated</x:v>
      </x:c>
      <x:c r="B10" s="53" t="str">
        <x:v>UK</x:v>
      </x:c>
      <x:c r="C10" s="124" t="n">
        <x:f>SUM('W Main Restated'!B10:O10)</x:f>
        <x:v>1</x:v>
      </x:c>
      <x:c r="D10" s="124" t="n">
        <x:f>'W Main Restated'!H10</x:f>
        <x:v>0</x:v>
      </x:c>
      <x:c r="E10" s="125" t="n">
        <x:f>COUNTBLANK('W Main Restated'!B10:O10)</x:f>
        <x:v>0</x:v>
      </x:c>
      <x:c r="F10" s="125" t="n">
        <x:f>COUNTIF('W Main Restated'!B10:O10,"&lt;0")</x:f>
        <x:v>0</x:v>
      </x:c>
      <x:c r="G10" s="126" t="str">
        <x:f>IF(AND(ABS(C10-1)&lt;README!$B$14,D10=0,E10=0,F10=0),"OK","CHECK")</x:f>
        <x:v>OK</x:v>
      </x:c>
    </x:row>
    <x:row r="11">
      <x:c r="A11" s="53" t="str">
        <x:v>W Main Restated</x:v>
      </x:c>
      <x:c r="B11" s="53" t="str">
        <x:v>JP</x:v>
      </x:c>
      <x:c r="C11" s="124" t="n">
        <x:f>SUM('W Main Restated'!B11:O11)</x:f>
        <x:v>0.9999999999999998</x:v>
      </x:c>
      <x:c r="D11" s="124" t="n">
        <x:f>'W Main Restated'!I11</x:f>
        <x:v>0</x:v>
      </x:c>
      <x:c r="E11" s="125" t="n">
        <x:f>COUNTBLANK('W Main Restated'!B11:O11)</x:f>
        <x:v>0</x:v>
      </x:c>
      <x:c r="F11" s="125" t="n">
        <x:f>COUNTIF('W Main Restated'!B11:O11,"&lt;0")</x:f>
        <x:v>0</x:v>
      </x:c>
      <x:c r="G11" s="126" t="str">
        <x:f>IF(AND(ABS(C11-1)&lt;README!$B$14,D11=0,E11=0,F11=0),"OK","CHECK")</x:f>
        <x:v>OK</x:v>
      </x:c>
    </x:row>
    <x:row r="12">
      <x:c r="A12" s="53" t="str">
        <x:v>W Main Restated</x:v>
      </x:c>
      <x:c r="B12" s="53" t="str">
        <x:v>KR</x:v>
      </x:c>
      <x:c r="C12" s="124" t="n">
        <x:f>SUM('W Main Restated'!B12:O12)</x:f>
        <x:v>1</x:v>
      </x:c>
      <x:c r="D12" s="124" t="n">
        <x:f>'W Main Restated'!J12</x:f>
        <x:v>0</x:v>
      </x:c>
      <x:c r="E12" s="125" t="n">
        <x:f>COUNTBLANK('W Main Restated'!B12:O12)</x:f>
        <x:v>0</x:v>
      </x:c>
      <x:c r="F12" s="125" t="n">
        <x:f>COUNTIF('W Main Restated'!B12:O12,"&lt;0")</x:f>
        <x:v>0</x:v>
      </x:c>
      <x:c r="G12" s="126" t="str">
        <x:f>IF(AND(ABS(C12-1)&lt;README!$B$14,D12=0,E12=0,F12=0),"OK","CHECK")</x:f>
        <x:v>OK</x:v>
      </x:c>
    </x:row>
    <x:row r="13">
      <x:c r="A13" s="53" t="str">
        <x:v>W Main Restated</x:v>
      </x:c>
      <x:c r="B13" s="53" t="str">
        <x:v>NO</x:v>
      </x:c>
      <x:c r="C13" s="124" t="n">
        <x:f>SUM('W Main Restated'!B13:O13)</x:f>
        <x:v>1</x:v>
      </x:c>
      <x:c r="D13" s="124" t="n">
        <x:f>'W Main Restated'!K13</x:f>
        <x:v>0</x:v>
      </x:c>
      <x:c r="E13" s="125" t="n">
        <x:f>COUNTBLANK('W Main Restated'!B13:O13)</x:f>
        <x:v>0</x:v>
      </x:c>
      <x:c r="F13" s="125" t="n">
        <x:f>COUNTIF('W Main Restated'!B13:O13,"&lt;0")</x:f>
        <x:v>0</x:v>
      </x:c>
      <x:c r="G13" s="126" t="str">
        <x:f>IF(AND(ABS(C13-1)&lt;README!$B$14,D13=0,E13=0,F13=0),"OK","CHECK")</x:f>
        <x:v>OK</x:v>
      </x:c>
    </x:row>
    <x:row r="14">
      <x:c r="A14" s="53" t="str">
        <x:v>W Main Restated</x:v>
      </x:c>
      <x:c r="B14" s="53" t="str">
        <x:v>SG</x:v>
      </x:c>
      <x:c r="C14" s="124" t="n">
        <x:f>SUM('W Main Restated'!B14:O14)</x:f>
        <x:v>1</x:v>
      </x:c>
      <x:c r="D14" s="124" t="n">
        <x:f>'W Main Restated'!L14</x:f>
        <x:v>0</x:v>
      </x:c>
      <x:c r="E14" s="125" t="n">
        <x:f>COUNTBLANK('W Main Restated'!B14:O14)</x:f>
        <x:v>0</x:v>
      </x:c>
      <x:c r="F14" s="125" t="n">
        <x:f>COUNTIF('W Main Restated'!B14:O14,"&lt;0")</x:f>
        <x:v>0</x:v>
      </x:c>
      <x:c r="G14" s="126" t="str">
        <x:f>IF(AND(ABS(C14-1)&lt;README!$B$14,D14=0,E14=0,F14=0),"OK","CHECK")</x:f>
        <x:v>OK</x:v>
      </x:c>
    </x:row>
    <x:row r="15">
      <x:c r="A15" s="53" t="str">
        <x:v>W Main Restated</x:v>
      </x:c>
      <x:c r="B15" s="53" t="str">
        <x:v>TR</x:v>
      </x:c>
      <x:c r="C15" s="124" t="n">
        <x:f>SUM('W Main Restated'!B15:O15)</x:f>
        <x:v>1</x:v>
      </x:c>
      <x:c r="D15" s="124" t="n">
        <x:f>'W Main Restated'!M15</x:f>
        <x:v>0</x:v>
      </x:c>
      <x:c r="E15" s="125" t="n">
        <x:f>COUNTBLANK('W Main Restated'!B15:O15)</x:f>
        <x:v>0</x:v>
      </x:c>
      <x:c r="F15" s="125" t="n">
        <x:f>COUNTIF('W Main Restated'!B15:O15,"&lt;0")</x:f>
        <x:v>0</x:v>
      </x:c>
      <x:c r="G15" s="126" t="str">
        <x:f>IF(AND(ABS(C15-1)&lt;README!$B$14,D15=0,E15=0,F15=0),"OK","CHECK")</x:f>
        <x:v>OK</x:v>
      </x:c>
    </x:row>
    <x:row r="16">
      <x:c r="A16" s="53" t="str">
        <x:v>W Main Restated</x:v>
      </x:c>
      <x:c r="B16" s="53" t="str">
        <x:v>US</x:v>
      </x:c>
      <x:c r="C16" s="124" t="n">
        <x:f>SUM('W Main Restated'!B16:O16)</x:f>
        <x:v>1</x:v>
      </x:c>
      <x:c r="D16" s="124" t="n">
        <x:f>'W Main Restated'!N16</x:f>
        <x:v>0</x:v>
      </x:c>
      <x:c r="E16" s="125" t="n">
        <x:f>COUNTBLANK('W Main Restated'!B16:O16)</x:f>
        <x:v>0</x:v>
      </x:c>
      <x:c r="F16" s="125" t="n">
        <x:f>COUNTIF('W Main Restated'!B16:O16,"&lt;0")</x:f>
        <x:v>0</x:v>
      </x:c>
      <x:c r="G16" s="126" t="str">
        <x:f>IF(AND(ABS(C16-1)&lt;README!$B$14,D16=0,E16=0,F16=0),"OK","CHECK")</x:f>
        <x:v>OK</x:v>
      </x:c>
    </x:row>
    <x:row r="17">
      <x:c r="A17" s="53" t="str">
        <x:v>W Main Restated</x:v>
      </x:c>
      <x:c r="B17" s="53" t="str">
        <x:v>ZA</x:v>
      </x:c>
      <x:c r="C17" s="124" t="n">
        <x:f>SUM('W Main Restated'!B17:O17)</x:f>
        <x:v>0.9999999999999999</x:v>
      </x:c>
      <x:c r="D17" s="124" t="n">
        <x:f>'W Main Restated'!O17</x:f>
        <x:v>0</x:v>
      </x:c>
      <x:c r="E17" s="125" t="n">
        <x:f>COUNTBLANK('W Main Restated'!B17:O17)</x:f>
        <x:v>0</x:v>
      </x:c>
      <x:c r="F17" s="125" t="n">
        <x:f>COUNTIF('W Main Restated'!B17:O17,"&lt;0")</x:f>
        <x:v>0</x:v>
      </x:c>
      <x:c r="G17" s="126" t="str">
        <x:f>IF(AND(ABS(C17-1)&lt;README!$B$14,D17=0,E17=0,F17=0),"OK","CHECK")</x:f>
        <x:v>OK</x:v>
      </x:c>
    </x:row>
    <x:row r="18">
      <x:c r="A18" s="53" t="str">
        <x:v>W Residency Basis</x:v>
      </x:c>
      <x:c r="B18" s="53" t="str">
        <x:v>AU</x:v>
      </x:c>
      <x:c r="C18" s="124" t="n">
        <x:f>SUM('W Residency Basis'!B4:O4)</x:f>
        <x:v>1</x:v>
      </x:c>
      <x:c r="D18" s="124" t="n">
        <x:f>'W Residency Basis'!B4</x:f>
        <x:v>0</x:v>
      </x:c>
      <x:c r="E18" s="125" t="n">
        <x:f>COUNTBLANK('W Residency Basis'!B4:O4)</x:f>
        <x:v>0</x:v>
      </x:c>
      <x:c r="F18" s="125" t="n">
        <x:f>COUNTIF('W Residency Basis'!B4:O4,"&lt;0")</x:f>
        <x:v>0</x:v>
      </x:c>
      <x:c r="G18" s="126" t="str">
        <x:f>IF(AND(ABS(C18-1)&lt;README!$B$14,D18=0,E18=0,F18=0),"OK","CHECK")</x:f>
        <x:v>OK</x:v>
      </x:c>
    </x:row>
    <x:row r="19">
      <x:c r="A19" s="53" t="str">
        <x:v>W Residency Basis</x:v>
      </x:c>
      <x:c r="B19" s="53" t="str">
        <x:v>BR</x:v>
      </x:c>
      <x:c r="C19" s="124" t="n">
        <x:f>SUM('W Residency Basis'!B5:O5)</x:f>
        <x:v>0.9999999999999999</x:v>
      </x:c>
      <x:c r="D19" s="124" t="n">
        <x:f>'W Residency Basis'!C5</x:f>
        <x:v>0</x:v>
      </x:c>
      <x:c r="E19" s="125" t="n">
        <x:f>COUNTBLANK('W Residency Basis'!B5:O5)</x:f>
        <x:v>0</x:v>
      </x:c>
      <x:c r="F19" s="125" t="n">
        <x:f>COUNTIF('W Residency Basis'!B5:O5,"&lt;0")</x:f>
        <x:v>0</x:v>
      </x:c>
      <x:c r="G19" s="126" t="str">
        <x:f>IF(AND(ABS(C19-1)&lt;README!$B$14,D19=0,E19=0,F19=0),"OK","CHECK")</x:f>
        <x:v>OK</x:v>
      </x:c>
    </x:row>
    <x:row r="20">
      <x:c r="A20" s="53" t="str">
        <x:v>W Residency Basis</x:v>
      </x:c>
      <x:c r="B20" s="53" t="str">
        <x:v>CA</x:v>
      </x:c>
      <x:c r="C20" s="124" t="n">
        <x:f>SUM('W Residency Basis'!B6:O6)</x:f>
        <x:v>1</x:v>
      </x:c>
      <x:c r="D20" s="124" t="n">
        <x:f>'W Residency Basis'!D6</x:f>
        <x:v>0</x:v>
      </x:c>
      <x:c r="E20" s="125" t="n">
        <x:f>COUNTBLANK('W Residency Basis'!B6:O6)</x:f>
        <x:v>0</x:v>
      </x:c>
      <x:c r="F20" s="125" t="n">
        <x:f>COUNTIF('W Residency Basis'!B6:O6,"&lt;0")</x:f>
        <x:v>0</x:v>
      </x:c>
      <x:c r="G20" s="126" t="str">
        <x:f>IF(AND(ABS(C20-1)&lt;README!$B$14,D20=0,E20=0,F20=0),"OK","CHECK")</x:f>
        <x:v>OK</x:v>
      </x:c>
    </x:row>
    <x:row r="21">
      <x:c r="A21" s="53" t="str">
        <x:v>W Residency Basis</x:v>
      </x:c>
      <x:c r="B21" s="53" t="str">
        <x:v>CH</x:v>
      </x:c>
      <x:c r="C21" s="124" t="n">
        <x:f>SUM('W Residency Basis'!B7:O7)</x:f>
        <x:v>1</x:v>
      </x:c>
      <x:c r="D21" s="124" t="n">
        <x:f>'W Residency Basis'!E7</x:f>
        <x:v>0</x:v>
      </x:c>
      <x:c r="E21" s="125" t="n">
        <x:f>COUNTBLANK('W Residency Basis'!B7:O7)</x:f>
        <x:v>0</x:v>
      </x:c>
      <x:c r="F21" s="125" t="n">
        <x:f>COUNTIF('W Residency Basis'!B7:O7,"&lt;0")</x:f>
        <x:v>0</x:v>
      </x:c>
      <x:c r="G21" s="126" t="str">
        <x:f>IF(AND(ABS(C21-1)&lt;README!$B$14,D21=0,E21=0,F21=0),"OK","CHECK")</x:f>
        <x:v>OK</x:v>
      </x:c>
    </x:row>
    <x:row r="22">
      <x:c r="A22" s="53" t="str">
        <x:v>W Residency Basis</x:v>
      </x:c>
      <x:c r="B22" s="53" t="str">
        <x:v>CN</x:v>
      </x:c>
      <x:c r="C22" s="124" t="n">
        <x:f>SUM('W Residency Basis'!B8:O8)</x:f>
        <x:v>0.9999999999999999</x:v>
      </x:c>
      <x:c r="D22" s="124" t="n">
        <x:f>'W Residency Basis'!F8</x:f>
        <x:v>0</x:v>
      </x:c>
      <x:c r="E22" s="125" t="n">
        <x:f>COUNTBLANK('W Residency Basis'!B8:O8)</x:f>
        <x:v>0</x:v>
      </x:c>
      <x:c r="F22" s="125" t="n">
        <x:f>COUNTIF('W Residency Basis'!B8:O8,"&lt;0")</x:f>
        <x:v>0</x:v>
      </x:c>
      <x:c r="G22" s="126" t="str">
        <x:f>IF(AND(ABS(C22-1)&lt;README!$B$14,D22=0,E22=0,F22=0),"OK","CHECK")</x:f>
        <x:v>OK</x:v>
      </x:c>
    </x:row>
    <x:row r="23">
      <x:c r="A23" s="53" t="str">
        <x:v>W Residency Basis</x:v>
      </x:c>
      <x:c r="B23" s="53" t="str">
        <x:v>EA</x:v>
      </x:c>
      <x:c r="C23" s="124" t="n">
        <x:f>SUM('W Residency Basis'!B9:O9)</x:f>
        <x:v>0.9999999999999999</x:v>
      </x:c>
      <x:c r="D23" s="124" t="n">
        <x:f>'W Residency Basis'!G9</x:f>
        <x:v>0</x:v>
      </x:c>
      <x:c r="E23" s="125" t="n">
        <x:f>COUNTBLANK('W Residency Basis'!B9:O9)</x:f>
        <x:v>0</x:v>
      </x:c>
      <x:c r="F23" s="125" t="n">
        <x:f>COUNTIF('W Residency Basis'!B9:O9,"&lt;0")</x:f>
        <x:v>0</x:v>
      </x:c>
      <x:c r="G23" s="126" t="str">
        <x:f>IF(AND(ABS(C23-1)&lt;README!$B$14,D23=0,E23=0,F23=0),"OK","CHECK")</x:f>
        <x:v>OK</x:v>
      </x:c>
    </x:row>
    <x:row r="24">
      <x:c r="A24" s="53" t="str">
        <x:v>W Residency Basis</x:v>
      </x:c>
      <x:c r="B24" s="53" t="str">
        <x:v>UK</x:v>
      </x:c>
      <x:c r="C24" s="124" t="n">
        <x:f>SUM('W Residency Basis'!B10:O10)</x:f>
        <x:v>1</x:v>
      </x:c>
      <x:c r="D24" s="124" t="n">
        <x:f>'W Residency Basis'!H10</x:f>
        <x:v>0</x:v>
      </x:c>
      <x:c r="E24" s="125" t="n">
        <x:f>COUNTBLANK('W Residency Basis'!B10:O10)</x:f>
        <x:v>0</x:v>
      </x:c>
      <x:c r="F24" s="125" t="n">
        <x:f>COUNTIF('W Residency Basis'!B10:O10,"&lt;0")</x:f>
        <x:v>0</x:v>
      </x:c>
      <x:c r="G24" s="126" t="str">
        <x:f>IF(AND(ABS(C24-1)&lt;README!$B$14,D24=0,E24=0,F24=0),"OK","CHECK")</x:f>
        <x:v>OK</x:v>
      </x:c>
    </x:row>
    <x:row r="25">
      <x:c r="A25" s="53" t="str">
        <x:v>W Residency Basis</x:v>
      </x:c>
      <x:c r="B25" s="53" t="str">
        <x:v>JP</x:v>
      </x:c>
      <x:c r="C25" s="124" t="n">
        <x:f>SUM('W Residency Basis'!B11:O11)</x:f>
        <x:v>1.0000000000000002</x:v>
      </x:c>
      <x:c r="D25" s="124" t="n">
        <x:f>'W Residency Basis'!I11</x:f>
        <x:v>0</x:v>
      </x:c>
      <x:c r="E25" s="125" t="n">
        <x:f>COUNTBLANK('W Residency Basis'!B11:O11)</x:f>
        <x:v>0</x:v>
      </x:c>
      <x:c r="F25" s="125" t="n">
        <x:f>COUNTIF('W Residency Basis'!B11:O11,"&lt;0")</x:f>
        <x:v>0</x:v>
      </x:c>
      <x:c r="G25" s="126" t="str">
        <x:f>IF(AND(ABS(C25-1)&lt;README!$B$14,D25=0,E25=0,F25=0),"OK","CHECK")</x:f>
        <x:v>OK</x:v>
      </x:c>
    </x:row>
    <x:row r="26">
      <x:c r="A26" s="53" t="str">
        <x:v>W Residency Basis</x:v>
      </x:c>
      <x:c r="B26" s="53" t="str">
        <x:v>KR</x:v>
      </x:c>
      <x:c r="C26" s="124" t="n">
        <x:f>SUM('W Residency Basis'!B12:O12)</x:f>
        <x:v>1.0000000000000002</x:v>
      </x:c>
      <x:c r="D26" s="124" t="n">
        <x:f>'W Residency Basis'!J12</x:f>
        <x:v>0</x:v>
      </x:c>
      <x:c r="E26" s="125" t="n">
        <x:f>COUNTBLANK('W Residency Basis'!B12:O12)</x:f>
        <x:v>0</x:v>
      </x:c>
      <x:c r="F26" s="125" t="n">
        <x:f>COUNTIF('W Residency Basis'!B12:O12,"&lt;0")</x:f>
        <x:v>0</x:v>
      </x:c>
      <x:c r="G26" s="126" t="str">
        <x:f>IF(AND(ABS(C26-1)&lt;README!$B$14,D26=0,E26=0,F26=0),"OK","CHECK")</x:f>
        <x:v>OK</x:v>
      </x:c>
    </x:row>
    <x:row r="27">
      <x:c r="A27" s="53" t="str">
        <x:v>W Residency Basis</x:v>
      </x:c>
      <x:c r="B27" s="53" t="str">
        <x:v>NO</x:v>
      </x:c>
      <x:c r="C27" s="124" t="n">
        <x:f>SUM('W Residency Basis'!B13:O13)</x:f>
        <x:v>0.9999999999999999</x:v>
      </x:c>
      <x:c r="D27" s="124" t="n">
        <x:f>'W Residency Basis'!K13</x:f>
        <x:v>0</x:v>
      </x:c>
      <x:c r="E27" s="125" t="n">
        <x:f>COUNTBLANK('W Residency Basis'!B13:O13)</x:f>
        <x:v>0</x:v>
      </x:c>
      <x:c r="F27" s="125" t="n">
        <x:f>COUNTIF('W Residency Basis'!B13:O13,"&lt;0")</x:f>
        <x:v>0</x:v>
      </x:c>
      <x:c r="G27" s="126" t="str">
        <x:f>IF(AND(ABS(C27-1)&lt;README!$B$14,D27=0,E27=0,F27=0),"OK","CHECK")</x:f>
        <x:v>OK</x:v>
      </x:c>
    </x:row>
    <x:row r="28">
      <x:c r="A28" s="53" t="str">
        <x:v>W Residency Basis</x:v>
      </x:c>
      <x:c r="B28" s="53" t="str">
        <x:v>SG</x:v>
      </x:c>
      <x:c r="C28" s="124" t="n">
        <x:f>SUM('W Residency Basis'!B14:O14)</x:f>
        <x:v>1</x:v>
      </x:c>
      <x:c r="D28" s="124" t="n">
        <x:f>'W Residency Basis'!L14</x:f>
        <x:v>0</x:v>
      </x:c>
      <x:c r="E28" s="125" t="n">
        <x:f>COUNTBLANK('W Residency Basis'!B14:O14)</x:f>
        <x:v>0</x:v>
      </x:c>
      <x:c r="F28" s="125" t="n">
        <x:f>COUNTIF('W Residency Basis'!B14:O14,"&lt;0")</x:f>
        <x:v>0</x:v>
      </x:c>
      <x:c r="G28" s="126" t="str">
        <x:f>IF(AND(ABS(C28-1)&lt;README!$B$14,D28=0,E28=0,F28=0),"OK","CHECK")</x:f>
        <x:v>OK</x:v>
      </x:c>
    </x:row>
    <x:row r="29">
      <x:c r="A29" s="53" t="str">
        <x:v>W Residency Basis</x:v>
      </x:c>
      <x:c r="B29" s="53" t="str">
        <x:v>TR</x:v>
      </x:c>
      <x:c r="C29" s="124" t="n">
        <x:f>SUM('W Residency Basis'!B15:O15)</x:f>
        <x:v>0.9999999999999999</x:v>
      </x:c>
      <x:c r="D29" s="124" t="n">
        <x:f>'W Residency Basis'!M15</x:f>
        <x:v>0</x:v>
      </x:c>
      <x:c r="E29" s="125" t="n">
        <x:f>COUNTBLANK('W Residency Basis'!B15:O15)</x:f>
        <x:v>0</x:v>
      </x:c>
      <x:c r="F29" s="125" t="n">
        <x:f>COUNTIF('W Residency Basis'!B15:O15,"&lt;0")</x:f>
        <x:v>0</x:v>
      </x:c>
      <x:c r="G29" s="126" t="str">
        <x:f>IF(AND(ABS(C29-1)&lt;README!$B$14,D29=0,E29=0,F29=0),"OK","CHECK")</x:f>
        <x:v>OK</x:v>
      </x:c>
    </x:row>
    <x:row r="30">
      <x:c r="A30" s="53" t="str">
        <x:v>W Residency Basis</x:v>
      </x:c>
      <x:c r="B30" s="53" t="str">
        <x:v>US</x:v>
      </x:c>
      <x:c r="C30" s="124" t="n">
        <x:f>SUM('W Residency Basis'!B16:O16)</x:f>
        <x:v>0.9999999999999999</x:v>
      </x:c>
      <x:c r="D30" s="124" t="n">
        <x:f>'W Residency Basis'!N16</x:f>
        <x:v>0</x:v>
      </x:c>
      <x:c r="E30" s="125" t="n">
        <x:f>COUNTBLANK('W Residency Basis'!B16:O16)</x:f>
        <x:v>0</x:v>
      </x:c>
      <x:c r="F30" s="125" t="n">
        <x:f>COUNTIF('W Residency Basis'!B16:O16,"&lt;0")</x:f>
        <x:v>0</x:v>
      </x:c>
      <x:c r="G30" s="126" t="str">
        <x:f>IF(AND(ABS(C30-1)&lt;README!$B$14,D30=0,E30=0,F30=0),"OK","CHECK")</x:f>
        <x:v>OK</x:v>
      </x:c>
    </x:row>
    <x:row r="31">
      <x:c r="A31" s="53" t="str">
        <x:v>W Residency Basis</x:v>
      </x:c>
      <x:c r="B31" s="53" t="str">
        <x:v>ZA</x:v>
      </x:c>
      <x:c r="C31" s="124" t="n">
        <x:f>SUM('W Residency Basis'!B17:O17)</x:f>
        <x:v>0.9999999999999998</x:v>
      </x:c>
      <x:c r="D31" s="124" t="n">
        <x:f>'W Residency Basis'!O17</x:f>
        <x:v>0</x:v>
      </x:c>
      <x:c r="E31" s="125" t="n">
        <x:f>COUNTBLANK('W Residency Basis'!B17:O17)</x:f>
        <x:v>0</x:v>
      </x:c>
      <x:c r="F31" s="125" t="n">
        <x:f>COUNTIF('W Residency Basis'!B17:O17,"&lt;0")</x:f>
        <x:v>0</x:v>
      </x:c>
      <x:c r="G31" s="126" t="str">
        <x:f>IF(AND(ABS(C31-1)&lt;README!$B$14,D31=0,E31=0,F31=0),"OK","CHECK")</x:f>
        <x:v>OK</x:v>
      </x:c>
    </x:row>
    <x:row r="32">
      <x:c r="A32" s="53" t="str">
        <x:v>W Equity Restated</x:v>
      </x:c>
      <x:c r="B32" s="53" t="str">
        <x:v>AU</x:v>
      </x:c>
      <x:c r="C32" s="124" t="n">
        <x:f>SUM('W Equity Restated'!B4:O4)</x:f>
        <x:v>1</x:v>
      </x:c>
      <x:c r="D32" s="124" t="n">
        <x:f>'W Equity Restated'!B4</x:f>
        <x:v>0</x:v>
      </x:c>
      <x:c r="E32" s="125" t="n">
        <x:f>COUNTBLANK('W Equity Restated'!B4:O4)</x:f>
        <x:v>0</x:v>
      </x:c>
      <x:c r="F32" s="125" t="n">
        <x:f>COUNTIF('W Equity Restated'!B4:O4,"&lt;0")</x:f>
        <x:v>0</x:v>
      </x:c>
      <x:c r="G32" s="126" t="str">
        <x:f>IF(AND(ABS(C32-1)&lt;README!$B$14,D32=0,E32=0,F32=0),"OK","CHECK")</x:f>
        <x:v>OK</x:v>
      </x:c>
    </x:row>
    <x:row r="33">
      <x:c r="A33" s="53" t="str">
        <x:v>W Equity Restated</x:v>
      </x:c>
      <x:c r="B33" s="53" t="str">
        <x:v>BR</x:v>
      </x:c>
      <x:c r="C33" s="124" t="n">
        <x:f>SUM('W Equity Restated'!B5:O5)</x:f>
        <x:v>1</x:v>
      </x:c>
      <x:c r="D33" s="124" t="n">
        <x:f>'W Equity Restated'!C5</x:f>
        <x:v>0</x:v>
      </x:c>
      <x:c r="E33" s="125" t="n">
        <x:f>COUNTBLANK('W Equity Restated'!B5:O5)</x:f>
        <x:v>0</x:v>
      </x:c>
      <x:c r="F33" s="125" t="n">
        <x:f>COUNTIF('W Equity Restated'!B5:O5,"&lt;0")</x:f>
        <x:v>0</x:v>
      </x:c>
      <x:c r="G33" s="126" t="str">
        <x:f>IF(AND(ABS(C33-1)&lt;README!$B$14,D33=0,E33=0,F33=0),"OK","CHECK")</x:f>
        <x:v>OK</x:v>
      </x:c>
    </x:row>
    <x:row r="34">
      <x:c r="A34" s="53" t="str">
        <x:v>W Equity Restated</x:v>
      </x:c>
      <x:c r="B34" s="53" t="str">
        <x:v>CA</x:v>
      </x:c>
      <x:c r="C34" s="124" t="n">
        <x:f>SUM('W Equity Restated'!B6:O6)</x:f>
        <x:v>0.9999999999999999</x:v>
      </x:c>
      <x:c r="D34" s="124" t="n">
        <x:f>'W Equity Restated'!D6</x:f>
        <x:v>0</x:v>
      </x:c>
      <x:c r="E34" s="125" t="n">
        <x:f>COUNTBLANK('W Equity Restated'!B6:O6)</x:f>
        <x:v>0</x:v>
      </x:c>
      <x:c r="F34" s="125" t="n">
        <x:f>COUNTIF('W Equity Restated'!B6:O6,"&lt;0")</x:f>
        <x:v>0</x:v>
      </x:c>
      <x:c r="G34" s="126" t="str">
        <x:f>IF(AND(ABS(C34-1)&lt;README!$B$14,D34=0,E34=0,F34=0),"OK","CHECK")</x:f>
        <x:v>OK</x:v>
      </x:c>
    </x:row>
    <x:row r="35">
      <x:c r="A35" s="53" t="str">
        <x:v>W Equity Restated</x:v>
      </x:c>
      <x:c r="B35" s="53" t="str">
        <x:v>CH</x:v>
      </x:c>
      <x:c r="C35" s="124" t="n">
        <x:f>SUM('W Equity Restated'!B7:O7)</x:f>
        <x:v>0.9999999999999999</x:v>
      </x:c>
      <x:c r="D35" s="124" t="n">
        <x:f>'W Equity Restated'!E7</x:f>
        <x:v>0</x:v>
      </x:c>
      <x:c r="E35" s="125" t="n">
        <x:f>COUNTBLANK('W Equity Restated'!B7:O7)</x:f>
        <x:v>0</x:v>
      </x:c>
      <x:c r="F35" s="125" t="n">
        <x:f>COUNTIF('W Equity Restated'!B7:O7,"&lt;0")</x:f>
        <x:v>0</x:v>
      </x:c>
      <x:c r="G35" s="126" t="str">
        <x:f>IF(AND(ABS(C35-1)&lt;README!$B$14,D35=0,E35=0,F35=0),"OK","CHECK")</x:f>
        <x:v>OK</x:v>
      </x:c>
    </x:row>
    <x:row r="36">
      <x:c r="A36" s="53" t="str">
        <x:v>W Equity Restated</x:v>
      </x:c>
      <x:c r="B36" s="53" t="str">
        <x:v>CN</x:v>
      </x:c>
      <x:c r="C36" s="124" t="n">
        <x:f>SUM('W Equity Restated'!B8:O8)</x:f>
        <x:v>1</x:v>
      </x:c>
      <x:c r="D36" s="124" t="n">
        <x:f>'W Equity Restated'!F8</x:f>
        <x:v>0</x:v>
      </x:c>
      <x:c r="E36" s="125" t="n">
        <x:f>COUNTBLANK('W Equity Restated'!B8:O8)</x:f>
        <x:v>0</x:v>
      </x:c>
      <x:c r="F36" s="125" t="n">
        <x:f>COUNTIF('W Equity Restated'!B8:O8,"&lt;0")</x:f>
        <x:v>0</x:v>
      </x:c>
      <x:c r="G36" s="126" t="str">
        <x:f>IF(AND(ABS(C36-1)&lt;README!$B$14,D36=0,E36=0,F36=0),"OK","CHECK")</x:f>
        <x:v>OK</x:v>
      </x:c>
    </x:row>
    <x:row r="37">
      <x:c r="A37" s="53" t="str">
        <x:v>W Equity Restated</x:v>
      </x:c>
      <x:c r="B37" s="53" t="str">
        <x:v>EA</x:v>
      </x:c>
      <x:c r="C37" s="124" t="n">
        <x:f>SUM('W Equity Restated'!B9:O9)</x:f>
        <x:v>1</x:v>
      </x:c>
      <x:c r="D37" s="124" t="n">
        <x:f>'W Equity Restated'!G9</x:f>
        <x:v>0</x:v>
      </x:c>
      <x:c r="E37" s="125" t="n">
        <x:f>COUNTBLANK('W Equity Restated'!B9:O9)</x:f>
        <x:v>0</x:v>
      </x:c>
      <x:c r="F37" s="125" t="n">
        <x:f>COUNTIF('W Equity Restated'!B9:O9,"&lt;0")</x:f>
        <x:v>0</x:v>
      </x:c>
      <x:c r="G37" s="126" t="str">
        <x:f>IF(AND(ABS(C37-1)&lt;README!$B$14,D37=0,E37=0,F37=0),"OK","CHECK")</x:f>
        <x:v>OK</x:v>
      </x:c>
    </x:row>
    <x:row r="38">
      <x:c r="A38" s="53" t="str">
        <x:v>W Equity Restated</x:v>
      </x:c>
      <x:c r="B38" s="53" t="str">
        <x:v>UK</x:v>
      </x:c>
      <x:c r="C38" s="124" t="n">
        <x:f>SUM('W Equity Restated'!B10:O10)</x:f>
        <x:v>1</x:v>
      </x:c>
      <x:c r="D38" s="124" t="n">
        <x:f>'W Equity Restated'!H10</x:f>
        <x:v>0</x:v>
      </x:c>
      <x:c r="E38" s="125" t="n">
        <x:f>COUNTBLANK('W Equity Restated'!B10:O10)</x:f>
        <x:v>0</x:v>
      </x:c>
      <x:c r="F38" s="125" t="n">
        <x:f>COUNTIF('W Equity Restated'!B10:O10,"&lt;0")</x:f>
        <x:v>0</x:v>
      </x:c>
      <x:c r="G38" s="126" t="str">
        <x:f>IF(AND(ABS(C38-1)&lt;README!$B$14,D38=0,E38=0,F38=0),"OK","CHECK")</x:f>
        <x:v>OK</x:v>
      </x:c>
    </x:row>
    <x:row r="39">
      <x:c r="A39" s="53" t="str">
        <x:v>W Equity Restated</x:v>
      </x:c>
      <x:c r="B39" s="53" t="str">
        <x:v>JP</x:v>
      </x:c>
      <x:c r="C39" s="124" t="n">
        <x:f>SUM('W Equity Restated'!B11:O11)</x:f>
        <x:v>1</x:v>
      </x:c>
      <x:c r="D39" s="124" t="n">
        <x:f>'W Equity Restated'!I11</x:f>
        <x:v>0</x:v>
      </x:c>
      <x:c r="E39" s="125" t="n">
        <x:f>COUNTBLANK('W Equity Restated'!B11:O11)</x:f>
        <x:v>0</x:v>
      </x:c>
      <x:c r="F39" s="125" t="n">
        <x:f>COUNTIF('W Equity Restated'!B11:O11,"&lt;0")</x:f>
        <x:v>0</x:v>
      </x:c>
      <x:c r="G39" s="126" t="str">
        <x:f>IF(AND(ABS(C39-1)&lt;README!$B$14,D39=0,E39=0,F39=0),"OK","CHECK")</x:f>
        <x:v>OK</x:v>
      </x:c>
    </x:row>
    <x:row r="40">
      <x:c r="A40" s="53" t="str">
        <x:v>W Equity Restated</x:v>
      </x:c>
      <x:c r="B40" s="53" t="str">
        <x:v>KR</x:v>
      </x:c>
      <x:c r="C40" s="124" t="n">
        <x:f>SUM('W Equity Restated'!B12:O12)</x:f>
        <x:v>1</x:v>
      </x:c>
      <x:c r="D40" s="124" t="n">
        <x:f>'W Equity Restated'!J12</x:f>
        <x:v>0</x:v>
      </x:c>
      <x:c r="E40" s="125" t="n">
        <x:f>COUNTBLANK('W Equity Restated'!B12:O12)</x:f>
        <x:v>0</x:v>
      </x:c>
      <x:c r="F40" s="125" t="n">
        <x:f>COUNTIF('W Equity Restated'!B12:O12,"&lt;0")</x:f>
        <x:v>0</x:v>
      </x:c>
      <x:c r="G40" s="126" t="str">
        <x:f>IF(AND(ABS(C40-1)&lt;README!$B$14,D40=0,E40=0,F40=0),"OK","CHECK")</x:f>
        <x:v>OK</x:v>
      </x:c>
    </x:row>
    <x:row r="41">
      <x:c r="A41" s="53" t="str">
        <x:v>W Equity Restated</x:v>
      </x:c>
      <x:c r="B41" s="53" t="str">
        <x:v>NO</x:v>
      </x:c>
      <x:c r="C41" s="124" t="n">
        <x:f>SUM('W Equity Restated'!B13:O13)</x:f>
        <x:v>1</x:v>
      </x:c>
      <x:c r="D41" s="124" t="n">
        <x:f>'W Equity Restated'!K13</x:f>
        <x:v>0</x:v>
      </x:c>
      <x:c r="E41" s="125" t="n">
        <x:f>COUNTBLANK('W Equity Restated'!B13:O13)</x:f>
        <x:v>0</x:v>
      </x:c>
      <x:c r="F41" s="125" t="n">
        <x:f>COUNTIF('W Equity Restated'!B13:O13,"&lt;0")</x:f>
        <x:v>0</x:v>
      </x:c>
      <x:c r="G41" s="126" t="str">
        <x:f>IF(AND(ABS(C41-1)&lt;README!$B$14,D41=0,E41=0,F41=0),"OK","CHECK")</x:f>
        <x:v>OK</x:v>
      </x:c>
    </x:row>
    <x:row r="42">
      <x:c r="A42" s="53" t="str">
        <x:v>W Equity Restated</x:v>
      </x:c>
      <x:c r="B42" s="53" t="str">
        <x:v>SG</x:v>
      </x:c>
      <x:c r="C42" s="124" t="n">
        <x:f>SUM('W Equity Restated'!B14:O14)</x:f>
        <x:v>1</x:v>
      </x:c>
      <x:c r="D42" s="124" t="n">
        <x:f>'W Equity Restated'!L14</x:f>
        <x:v>0</x:v>
      </x:c>
      <x:c r="E42" s="125" t="n">
        <x:f>COUNTBLANK('W Equity Restated'!B14:O14)</x:f>
        <x:v>0</x:v>
      </x:c>
      <x:c r="F42" s="125" t="n">
        <x:f>COUNTIF('W Equity Restated'!B14:O14,"&lt;0")</x:f>
        <x:v>0</x:v>
      </x:c>
      <x:c r="G42" s="126" t="str">
        <x:f>IF(AND(ABS(C42-1)&lt;README!$B$14,D42=0,E42=0,F42=0),"OK","CHECK")</x:f>
        <x:v>OK</x:v>
      </x:c>
    </x:row>
    <x:row r="43">
      <x:c r="A43" s="53" t="str">
        <x:v>W Equity Restated</x:v>
      </x:c>
      <x:c r="B43" s="53" t="str">
        <x:v>TR</x:v>
      </x:c>
      <x:c r="C43" s="124" t="n">
        <x:f>SUM('W Equity Restated'!B15:O15)</x:f>
        <x:v>1</x:v>
      </x:c>
      <x:c r="D43" s="124" t="n">
        <x:f>'W Equity Restated'!M15</x:f>
        <x:v>0</x:v>
      </x:c>
      <x:c r="E43" s="125" t="n">
        <x:f>COUNTBLANK('W Equity Restated'!B15:O15)</x:f>
        <x:v>0</x:v>
      </x:c>
      <x:c r="F43" s="125" t="n">
        <x:f>COUNTIF('W Equity Restated'!B15:O15,"&lt;0")</x:f>
        <x:v>0</x:v>
      </x:c>
      <x:c r="G43" s="126" t="str">
        <x:f>IF(AND(ABS(C43-1)&lt;README!$B$14,D43=0,E43=0,F43=0),"OK","CHECK")</x:f>
        <x:v>OK</x:v>
      </x:c>
    </x:row>
    <x:row r="44">
      <x:c r="A44" s="53" t="str">
        <x:v>W Equity Restated</x:v>
      </x:c>
      <x:c r="B44" s="53" t="str">
        <x:v>US</x:v>
      </x:c>
      <x:c r="C44" s="124" t="n">
        <x:f>SUM('W Equity Restated'!B16:O16)</x:f>
        <x:v>1</x:v>
      </x:c>
      <x:c r="D44" s="124" t="n">
        <x:f>'W Equity Restated'!N16</x:f>
        <x:v>0</x:v>
      </x:c>
      <x:c r="E44" s="125" t="n">
        <x:f>COUNTBLANK('W Equity Restated'!B16:O16)</x:f>
        <x:v>0</x:v>
      </x:c>
      <x:c r="F44" s="125" t="n">
        <x:f>COUNTIF('W Equity Restated'!B16:O16,"&lt;0")</x:f>
        <x:v>0</x:v>
      </x:c>
      <x:c r="G44" s="126" t="str">
        <x:f>IF(AND(ABS(C44-1)&lt;README!$B$14,D44=0,E44=0,F44=0),"OK","CHECK")</x:f>
        <x:v>OK</x:v>
      </x:c>
    </x:row>
    <x:row r="45">
      <x:c r="A45" s="53" t="str">
        <x:v>W Equity Restated</x:v>
      </x:c>
      <x:c r="B45" s="53" t="str">
        <x:v>ZA</x:v>
      </x:c>
      <x:c r="C45" s="124" t="n">
        <x:f>SUM('W Equity Restated'!B17:O17)</x:f>
        <x:v>1</x:v>
      </x:c>
      <x:c r="D45" s="124" t="n">
        <x:f>'W Equity Restated'!O17</x:f>
        <x:v>0</x:v>
      </x:c>
      <x:c r="E45" s="125" t="n">
        <x:f>COUNTBLANK('W Equity Restated'!B17:O17)</x:f>
        <x:v>0</x:v>
      </x:c>
      <x:c r="F45" s="125" t="n">
        <x:f>COUNTIF('W Equity Restated'!B17:O17,"&lt;0")</x:f>
        <x:v>0</x:v>
      </x:c>
      <x:c r="G45" s="126" t="str">
        <x:f>IF(AND(ABS(C45-1)&lt;README!$B$14,D45=0,E45=0,F45=0),"OK","CHECK")</x:f>
        <x:v>OK</x:v>
      </x:c>
    </x:row>
    <x:row r="46">
      <x:c r="A46" s="53" t="str">
        <x:v>W Bonds Restated</x:v>
      </x:c>
      <x:c r="B46" s="53" t="str">
        <x:v>AU</x:v>
      </x:c>
      <x:c r="C46" s="124" t="n">
        <x:f>SUM('W Bonds Restated'!B4:O4)</x:f>
        <x:v>0.9999999999999999</x:v>
      </x:c>
      <x:c r="D46" s="124" t="n">
        <x:f>'W Bonds Restated'!B4</x:f>
        <x:v>0</x:v>
      </x:c>
      <x:c r="E46" s="125" t="n">
        <x:f>COUNTBLANK('W Bonds Restated'!B4:O4)</x:f>
        <x:v>0</x:v>
      </x:c>
      <x:c r="F46" s="125" t="n">
        <x:f>COUNTIF('W Bonds Restated'!B4:O4,"&lt;0")</x:f>
        <x:v>0</x:v>
      </x:c>
      <x:c r="G46" s="126" t="str">
        <x:f>IF(AND(ABS(C46-1)&lt;README!$B$14,D46=0,E46=0,F46=0),"OK","CHECK")</x:f>
        <x:v>OK</x:v>
      </x:c>
    </x:row>
    <x:row r="47">
      <x:c r="A47" s="53" t="str">
        <x:v>W Bonds Restated</x:v>
      </x:c>
      <x:c r="B47" s="53" t="str">
        <x:v>BR</x:v>
      </x:c>
      <x:c r="C47" s="124" t="n">
        <x:f>SUM('W Bonds Restated'!B5:O5)</x:f>
        <x:v>0.9999999999999999</x:v>
      </x:c>
      <x:c r="D47" s="124" t="n">
        <x:f>'W Bonds Restated'!C5</x:f>
        <x:v>0</x:v>
      </x:c>
      <x:c r="E47" s="125" t="n">
        <x:f>COUNTBLANK('W Bonds Restated'!B5:O5)</x:f>
        <x:v>0</x:v>
      </x:c>
      <x:c r="F47" s="125" t="n">
        <x:f>COUNTIF('W Bonds Restated'!B5:O5,"&lt;0")</x:f>
        <x:v>0</x:v>
      </x:c>
      <x:c r="G47" s="126" t="str">
        <x:f>IF(AND(ABS(C47-1)&lt;README!$B$14,D47=0,E47=0,F47=0),"OK","CHECK")</x:f>
        <x:v>OK</x:v>
      </x:c>
    </x:row>
    <x:row r="48">
      <x:c r="A48" s="53" t="str">
        <x:v>W Bonds Restated</x:v>
      </x:c>
      <x:c r="B48" s="53" t="str">
        <x:v>CA</x:v>
      </x:c>
      <x:c r="C48" s="124" t="n">
        <x:f>SUM('W Bonds Restated'!B6:O6)</x:f>
        <x:v>1</x:v>
      </x:c>
      <x:c r="D48" s="124" t="n">
        <x:f>'W Bonds Restated'!D6</x:f>
        <x:v>0</x:v>
      </x:c>
      <x:c r="E48" s="125" t="n">
        <x:f>COUNTBLANK('W Bonds Restated'!B6:O6)</x:f>
        <x:v>0</x:v>
      </x:c>
      <x:c r="F48" s="125" t="n">
        <x:f>COUNTIF('W Bonds Restated'!B6:O6,"&lt;0")</x:f>
        <x:v>0</x:v>
      </x:c>
      <x:c r="G48" s="126" t="str">
        <x:f>IF(AND(ABS(C48-1)&lt;README!$B$14,D48=0,E48=0,F48=0),"OK","CHECK")</x:f>
        <x:v>OK</x:v>
      </x:c>
    </x:row>
    <x:row r="49">
      <x:c r="A49" s="53" t="str">
        <x:v>W Bonds Restated</x:v>
      </x:c>
      <x:c r="B49" s="53" t="str">
        <x:v>CH</x:v>
      </x:c>
      <x:c r="C49" s="124" t="n">
        <x:f>SUM('W Bonds Restated'!B7:O7)</x:f>
        <x:v>0.9999999999999998</x:v>
      </x:c>
      <x:c r="D49" s="124" t="n">
        <x:f>'W Bonds Restated'!E7</x:f>
        <x:v>0</x:v>
      </x:c>
      <x:c r="E49" s="125" t="n">
        <x:f>COUNTBLANK('W Bonds Restated'!B7:O7)</x:f>
        <x:v>0</x:v>
      </x:c>
      <x:c r="F49" s="125" t="n">
        <x:f>COUNTIF('W Bonds Restated'!B7:O7,"&lt;0")</x:f>
        <x:v>0</x:v>
      </x:c>
      <x:c r="G49" s="126" t="str">
        <x:f>IF(AND(ABS(C49-1)&lt;README!$B$14,D49=0,E49=0,F49=0),"OK","CHECK")</x:f>
        <x:v>OK</x:v>
      </x:c>
    </x:row>
    <x:row r="50">
      <x:c r="A50" s="53" t="str">
        <x:v>W Bonds Restated</x:v>
      </x:c>
      <x:c r="B50" s="53" t="str">
        <x:v>CN</x:v>
      </x:c>
      <x:c r="C50" s="124" t="n">
        <x:f>SUM('W Bonds Restated'!B8:O8)</x:f>
        <x:v>1</x:v>
      </x:c>
      <x:c r="D50" s="124" t="n">
        <x:f>'W Bonds Restated'!F8</x:f>
        <x:v>0</x:v>
      </x:c>
      <x:c r="E50" s="125" t="n">
        <x:f>COUNTBLANK('W Bonds Restated'!B8:O8)</x:f>
        <x:v>0</x:v>
      </x:c>
      <x:c r="F50" s="125" t="n">
        <x:f>COUNTIF('W Bonds Restated'!B8:O8,"&lt;0")</x:f>
        <x:v>0</x:v>
      </x:c>
      <x:c r="G50" s="126" t="str">
        <x:f>IF(AND(ABS(C50-1)&lt;README!$B$14,D50=0,E50=0,F50=0),"OK","CHECK")</x:f>
        <x:v>OK</x:v>
      </x:c>
    </x:row>
    <x:row r="51">
      <x:c r="A51" s="53" t="str">
        <x:v>W Bonds Restated</x:v>
      </x:c>
      <x:c r="B51" s="53" t="str">
        <x:v>EA</x:v>
      </x:c>
      <x:c r="C51" s="124" t="n">
        <x:f>SUM('W Bonds Restated'!B9:O9)</x:f>
        <x:v>1</x:v>
      </x:c>
      <x:c r="D51" s="124" t="n">
        <x:f>'W Bonds Restated'!G9</x:f>
        <x:v>0</x:v>
      </x:c>
      <x:c r="E51" s="125" t="n">
        <x:f>COUNTBLANK('W Bonds Restated'!B9:O9)</x:f>
        <x:v>0</x:v>
      </x:c>
      <x:c r="F51" s="125" t="n">
        <x:f>COUNTIF('W Bonds Restated'!B9:O9,"&lt;0")</x:f>
        <x:v>0</x:v>
      </x:c>
      <x:c r="G51" s="126" t="str">
        <x:f>IF(AND(ABS(C51-1)&lt;README!$B$14,D51=0,E51=0,F51=0),"OK","CHECK")</x:f>
        <x:v>OK</x:v>
      </x:c>
    </x:row>
    <x:row r="52">
      <x:c r="A52" s="53" t="str">
        <x:v>W Bonds Restated</x:v>
      </x:c>
      <x:c r="B52" s="53" t="str">
        <x:v>UK</x:v>
      </x:c>
      <x:c r="C52" s="124" t="n">
        <x:f>SUM('W Bonds Restated'!B10:O10)</x:f>
        <x:v>1</x:v>
      </x:c>
      <x:c r="D52" s="124" t="n">
        <x:f>'W Bonds Restated'!H10</x:f>
        <x:v>0</x:v>
      </x:c>
      <x:c r="E52" s="125" t="n">
        <x:f>COUNTBLANK('W Bonds Restated'!B10:O10)</x:f>
        <x:v>0</x:v>
      </x:c>
      <x:c r="F52" s="125" t="n">
        <x:f>COUNTIF('W Bonds Restated'!B10:O10,"&lt;0")</x:f>
        <x:v>0</x:v>
      </x:c>
      <x:c r="G52" s="126" t="str">
        <x:f>IF(AND(ABS(C52-1)&lt;README!$B$14,D52=0,E52=0,F52=0),"OK","CHECK")</x:f>
        <x:v>OK</x:v>
      </x:c>
    </x:row>
    <x:row r="53">
      <x:c r="A53" s="53" t="str">
        <x:v>W Bonds Restated</x:v>
      </x:c>
      <x:c r="B53" s="53" t="str">
        <x:v>JP</x:v>
      </x:c>
      <x:c r="C53" s="124" t="n">
        <x:f>SUM('W Bonds Restated'!B11:O11)</x:f>
        <x:v>1</x:v>
      </x:c>
      <x:c r="D53" s="124" t="n">
        <x:f>'W Bonds Restated'!I11</x:f>
        <x:v>0</x:v>
      </x:c>
      <x:c r="E53" s="125" t="n">
        <x:f>COUNTBLANK('W Bonds Restated'!B11:O11)</x:f>
        <x:v>0</x:v>
      </x:c>
      <x:c r="F53" s="125" t="n">
        <x:f>COUNTIF('W Bonds Restated'!B11:O11,"&lt;0")</x:f>
        <x:v>0</x:v>
      </x:c>
      <x:c r="G53" s="126" t="str">
        <x:f>IF(AND(ABS(C53-1)&lt;README!$B$14,D53=0,E53=0,F53=0),"OK","CHECK")</x:f>
        <x:v>OK</x:v>
      </x:c>
    </x:row>
    <x:row r="54">
      <x:c r="A54" s="53" t="str">
        <x:v>W Bonds Restated</x:v>
      </x:c>
      <x:c r="B54" s="53" t="str">
        <x:v>KR</x:v>
      </x:c>
      <x:c r="C54" s="124" t="n">
        <x:f>SUM('W Bonds Restated'!B12:O12)</x:f>
        <x:v>1</x:v>
      </x:c>
      <x:c r="D54" s="124" t="n">
        <x:f>'W Bonds Restated'!J12</x:f>
        <x:v>0</x:v>
      </x:c>
      <x:c r="E54" s="125" t="n">
        <x:f>COUNTBLANK('W Bonds Restated'!B12:O12)</x:f>
        <x:v>0</x:v>
      </x:c>
      <x:c r="F54" s="125" t="n">
        <x:f>COUNTIF('W Bonds Restated'!B12:O12,"&lt;0")</x:f>
        <x:v>0</x:v>
      </x:c>
      <x:c r="G54" s="126" t="str">
        <x:f>IF(AND(ABS(C54-1)&lt;README!$B$14,D54=0,E54=0,F54=0),"OK","CHECK")</x:f>
        <x:v>OK</x:v>
      </x:c>
    </x:row>
    <x:row r="55">
      <x:c r="A55" s="53" t="str">
        <x:v>W Bonds Restated</x:v>
      </x:c>
      <x:c r="B55" s="53" t="str">
        <x:v>NO</x:v>
      </x:c>
      <x:c r="C55" s="124" t="n">
        <x:f>SUM('W Bonds Restated'!B13:O13)</x:f>
        <x:v>0.9999999999999999</x:v>
      </x:c>
      <x:c r="D55" s="124" t="n">
        <x:f>'W Bonds Restated'!K13</x:f>
        <x:v>0</x:v>
      </x:c>
      <x:c r="E55" s="125" t="n">
        <x:f>COUNTBLANK('W Bonds Restated'!B13:O13)</x:f>
        <x:v>0</x:v>
      </x:c>
      <x:c r="F55" s="125" t="n">
        <x:f>COUNTIF('W Bonds Restated'!B13:O13,"&lt;0")</x:f>
        <x:v>0</x:v>
      </x:c>
      <x:c r="G55" s="126" t="str">
        <x:f>IF(AND(ABS(C55-1)&lt;README!$B$14,D55=0,E55=0,F55=0),"OK","CHECK")</x:f>
        <x:v>OK</x:v>
      </x:c>
    </x:row>
    <x:row r="56">
      <x:c r="A56" s="53" t="str">
        <x:v>W Bonds Restated</x:v>
      </x:c>
      <x:c r="B56" s="53" t="str">
        <x:v>SG</x:v>
      </x:c>
      <x:c r="C56" s="124" t="n">
        <x:f>SUM('W Bonds Restated'!B14:O14)</x:f>
        <x:v>1</x:v>
      </x:c>
      <x:c r="D56" s="124" t="n">
        <x:f>'W Bonds Restated'!L14</x:f>
        <x:v>0</x:v>
      </x:c>
      <x:c r="E56" s="125" t="n">
        <x:f>COUNTBLANK('W Bonds Restated'!B14:O14)</x:f>
        <x:v>0</x:v>
      </x:c>
      <x:c r="F56" s="125" t="n">
        <x:f>COUNTIF('W Bonds Restated'!B14:O14,"&lt;0")</x:f>
        <x:v>0</x:v>
      </x:c>
      <x:c r="G56" s="126" t="str">
        <x:f>IF(AND(ABS(C56-1)&lt;README!$B$14,D56=0,E56=0,F56=0),"OK","CHECK")</x:f>
        <x:v>OK</x:v>
      </x:c>
    </x:row>
    <x:row r="57">
      <x:c r="A57" s="53" t="str">
        <x:v>W Bonds Restated</x:v>
      </x:c>
      <x:c r="B57" s="53" t="str">
        <x:v>TR</x:v>
      </x:c>
      <x:c r="C57" s="124" t="n">
        <x:f>SUM('W Bonds Restated'!B15:O15)</x:f>
        <x:v>0.9999999999999999</x:v>
      </x:c>
      <x:c r="D57" s="124" t="n">
        <x:f>'W Bonds Restated'!M15</x:f>
        <x:v>0</x:v>
      </x:c>
      <x:c r="E57" s="125" t="n">
        <x:f>COUNTBLANK('W Bonds Restated'!B15:O15)</x:f>
        <x:v>0</x:v>
      </x:c>
      <x:c r="F57" s="125" t="n">
        <x:f>COUNTIF('W Bonds Restated'!B15:O15,"&lt;0")</x:f>
        <x:v>0</x:v>
      </x:c>
      <x:c r="G57" s="126" t="str">
        <x:f>IF(AND(ABS(C57-1)&lt;README!$B$14,D57=0,E57=0,F57=0),"OK","CHECK")</x:f>
        <x:v>OK</x:v>
      </x:c>
    </x:row>
    <x:row r="58">
      <x:c r="A58" s="53" t="str">
        <x:v>W Bonds Restated</x:v>
      </x:c>
      <x:c r="B58" s="53" t="str">
        <x:v>US</x:v>
      </x:c>
      <x:c r="C58" s="124" t="n">
        <x:f>SUM('W Bonds Restated'!B16:O16)</x:f>
        <x:v>1</x:v>
      </x:c>
      <x:c r="D58" s="124" t="n">
        <x:f>'W Bonds Restated'!N16</x:f>
        <x:v>0</x:v>
      </x:c>
      <x:c r="E58" s="125" t="n">
        <x:f>COUNTBLANK('W Bonds Restated'!B16:O16)</x:f>
        <x:v>0</x:v>
      </x:c>
      <x:c r="F58" s="125" t="n">
        <x:f>COUNTIF('W Bonds Restated'!B16:O16,"&lt;0")</x:f>
        <x:v>0</x:v>
      </x:c>
      <x:c r="G58" s="126" t="str">
        <x:f>IF(AND(ABS(C58-1)&lt;README!$B$14,D58=0,E58=0,F58=0),"OK","CHECK")</x:f>
        <x:v>OK</x:v>
      </x:c>
    </x:row>
    <x:row r="59">
      <x:c r="A59" s="60" t="str">
        <x:v>W Bonds Restated</x:v>
      </x:c>
      <x:c r="B59" s="60" t="str">
        <x:v>ZA</x:v>
      </x:c>
      <x:c r="C59" s="127" t="n">
        <x:f>SUM('W Bonds Restated'!B17:O17)</x:f>
        <x:v>1</x:v>
      </x:c>
      <x:c r="D59" s="127" t="n">
        <x:f>'W Bonds Restated'!O17</x:f>
        <x:v>0</x:v>
      </x:c>
      <x:c r="E59" s="128" t="n">
        <x:f>COUNTBLANK('W Bonds Restated'!B17:O17)</x:f>
        <x:v>0</x:v>
      </x:c>
      <x:c r="F59" s="128" t="n">
        <x:f>COUNTIF('W Bonds Restated'!B17:O17,"&lt;0")</x:f>
        <x:v>0</x:v>
      </x:c>
      <x:c r="G59" s="129" t="str">
        <x:f>IF(AND(ABS(C59-1)&lt;README!$B$14,D59=0,E59=0,F59=0),"OK","CHECK")</x:f>
        <x:v>OK</x:v>
      </x:c>
    </x:row>
  </x:sheetData>
  <x:mergeCells>
    <x:mergeCell ref="A1:G1"/>
    <x:mergeCell ref="A2:G2"/>
  </x:mergeCells>
  <x:pageMargins left="0.7" right="0.7" top="0.75" bottom="0.75" header="0.3" footer="0.3"/>
</x:worksheet>
</file>